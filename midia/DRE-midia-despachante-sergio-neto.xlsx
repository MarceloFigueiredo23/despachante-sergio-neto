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Premissas_Custos" sheetId="2" state="visible" r:id="rId2"/>
    <sheet xmlns:r="http://schemas.openxmlformats.org/officeDocument/2006/relationships" name="02_Canais_Targeting" sheetId="3" state="visible" r:id="rId3"/>
    <sheet xmlns:r="http://schemas.openxmlformats.org/officeDocument/2006/relationships" name="03_DRE_R$500" sheetId="4" state="visible" r:id="rId4"/>
    <sheet xmlns:r="http://schemas.openxmlformats.org/officeDocument/2006/relationships" name="04_DRE_R$1000" sheetId="5" state="visible" r:id="rId5"/>
    <sheet xmlns:r="http://schemas.openxmlformats.org/officeDocument/2006/relationships" name="05_BreakEven_ROI" sheetId="6" state="visible" r:id="rId6"/>
    <sheet xmlns:r="http://schemas.openxmlformats.org/officeDocument/2006/relationships" name="06_Plano_30_dias" sheetId="7" state="visible" r:id="rId7"/>
    <sheet xmlns:r="http://schemas.openxmlformats.org/officeDocument/2006/relationships" name="07_Projecao_12_me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"/>
    <numFmt numFmtId="166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1A3358"/>
      <sz val="16"/>
    </font>
    <font>
      <name val="Arial"/>
      <i val="1"/>
      <color rgb="005A6D86"/>
      <sz val="10"/>
    </font>
    <font>
      <name val="Arial"/>
      <color rgb="001A3358"/>
      <sz val="11"/>
    </font>
    <font>
      <name val="Arial"/>
      <sz val="11"/>
    </font>
    <font>
      <name val="Arial"/>
      <sz val="10"/>
    </font>
    <font>
      <name val="Arial"/>
      <b val="1"/>
      <color rgb="001A3358"/>
      <sz val="11"/>
    </font>
    <font>
      <name val="Arial"/>
      <b val="1"/>
      <color rgb="001A3358"/>
      <sz val="12"/>
    </font>
    <font>
      <name val="Arial"/>
      <b val="1"/>
      <color rgb="00FFFFFF"/>
      <sz val="11"/>
    </font>
    <font>
      <name val="Arial"/>
      <b val="1"/>
      <color rgb="001A7F37"/>
      <sz val="10"/>
    </font>
    <font>
      <name val="Arial"/>
      <i val="1"/>
      <color rgb="005A6D86"/>
      <sz val="9"/>
    </font>
    <font>
      <name val="Arial"/>
      <b val="1"/>
      <color rgb="001A3358"/>
      <sz val="13"/>
    </font>
    <font>
      <name val="Arial"/>
      <b val="1"/>
      <sz val="11"/>
    </font>
    <font>
      <name val="Arial"/>
      <b val="1"/>
      <color rgb="001A7F37"/>
      <sz val="12"/>
    </font>
    <font>
      <name val="Arial"/>
      <color rgb="005A6D86"/>
      <sz val="10"/>
    </font>
    <font>
      <name val="Arial"/>
      <b val="1"/>
      <sz val="10"/>
    </font>
    <font>
      <name val="Arial"/>
      <sz val="9"/>
    </font>
    <font>
      <name val="Arial"/>
      <b val="1"/>
      <color rgb="00B42318"/>
      <sz val="10"/>
    </font>
    <font>
      <name val="Arial"/>
      <b val="1"/>
      <color rgb="001A3358"/>
      <sz val="14"/>
    </font>
  </fonts>
  <fills count="4">
    <fill>
      <patternFill/>
    </fill>
    <fill>
      <patternFill patternType="gray125"/>
    </fill>
    <fill>
      <patternFill patternType="solid">
        <fgColor rgb="001A3358"/>
      </patternFill>
    </fill>
    <fill>
      <patternFill patternType="solid">
        <fgColor rgb="00C4840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165" fontId="5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9" fillId="0" borderId="0" pivotButton="0" quotePrefix="0" xfId="0"/>
    <xf numFmtId="166" fontId="5" fillId="0" borderId="0" pivotButton="0" quotePrefix="0" xfId="0"/>
    <xf numFmtId="0" fontId="11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66" fontId="5" fillId="0" borderId="1" pivotButton="0" quotePrefix="0" xfId="0"/>
    <xf numFmtId="0" fontId="12" fillId="0" borderId="0" pivotButton="0" quotePrefix="0" xfId="0"/>
    <xf numFmtId="164" fontId="13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3" borderId="0" applyAlignment="1" pivotButton="0" quotePrefix="0" xfId="0">
      <alignment horizontal="center" vertical="center" wrapText="1"/>
    </xf>
    <xf numFmtId="2" fontId="5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2" fontId="0" fillId="0" borderId="0" pivotButton="0" quotePrefix="0" xfId="0"/>
    <xf numFmtId="164" fontId="17" fillId="0" borderId="0" pivotButton="0" quotePrefix="0" xfId="0"/>
    <xf numFmtId="0" fontId="18" fillId="0" borderId="0" pivotButton="0" quotePrefix="0" xfId="0"/>
    <xf numFmtId="165" fontId="15" fillId="0" borderId="0" pivotButton="0" quotePrefix="0" xfId="0"/>
    <xf numFmtId="164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Lucro após mídia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'03_DRE_R$500'!F27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'03_DRE_R$500'!$A$28:$A$33</f>
            </numRef>
          </cat>
          <val>
            <numRef>
              <f>'03_DRE_R$500'!$F$28:$F$33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Lucro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'03_DRE_R$500'!H27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'03_DRE_R$500'!$A$28:$A$33</f>
            </numRef>
          </cat>
          <val>
            <numRef>
              <f>'03_DRE_R$500'!$H$28:$H$33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Lucro após mídia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'04_DRE_R$1000'!F27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'04_DRE_R$1000'!$A$28:$A$33</f>
            </numRef>
          </cat>
          <val>
            <numRef>
              <f>'04_DRE_R$1000'!$F$28:$F$33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Lucro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'04_DRE_R$1000'!H27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'04_DRE_R$1000'!$A$28:$A$33</f>
            </numRef>
          </cat>
          <val>
            <numRef>
              <f>'04_DRE_R$1000'!$H$28:$H$33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mensal (R$ 500/mês)</a:t>
            </a:r>
          </a:p>
        </rich>
      </tx>
    </title>
    <plotArea>
      <lineChart>
        <grouping val="standard"/>
        <ser>
          <idx val="0"/>
          <order val="0"/>
          <tx>
            <strRef>
              <f>'07_Projecao_12_meses'!F17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'07_Projecao_12_meses'!$A$18:$A$29</f>
            </numRef>
          </cat>
          <val>
            <numRef>
              <f>'07_Projecao_12_meses'!$F$18:$F$29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mensal (R$ 1.000/mês)</a:t>
            </a:r>
          </a:p>
        </rich>
      </tx>
    </title>
    <plotArea>
      <lineChart>
        <grouping val="standard"/>
        <ser>
          <idx val="0"/>
          <order val="0"/>
          <tx>
            <strRef>
              <f>'07_Projecao_12_meses'!F45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'07_Projecao_12_meses'!$A$46:$A$57</f>
            </numRef>
          </cat>
          <val>
            <numRef>
              <f>'07_Projecao_12_meses'!$F$46:$F$57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41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41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DRE PROJETADO DE MÍDIA — Despachante Sérgio Neto (Biju)</t>
        </is>
      </c>
    </row>
    <row r="2">
      <c r="A2" s="2" t="inlineStr">
        <is>
          <t>Cosmópolis-SP · Campo do Kigol · Projeção para investimento em tráfego pago</t>
        </is>
      </c>
    </row>
    <row r="4">
      <c r="A4" s="3" t="inlineStr"/>
      <c r="B4" s="4" t="inlineStr"/>
    </row>
    <row r="5">
      <c r="A5" s="3" t="inlineStr">
        <is>
          <t>Lucro bruto médio ponderado (mix tráfego)</t>
        </is>
      </c>
      <c r="B5" s="5" t="n">
        <v>158.205</v>
      </c>
    </row>
    <row r="6">
      <c r="A6" s="3" t="inlineStr">
        <is>
          <t>Ticket médio ponderado (valor cliente)</t>
        </is>
      </c>
      <c r="B6" s="5" t="n">
        <v>422.25</v>
      </c>
    </row>
    <row r="7">
      <c r="A7" s="3" t="inlineStr"/>
      <c r="B7" s="4" t="inlineStr"/>
    </row>
    <row r="8">
      <c r="A8" s="6" t="inlineStr">
        <is>
          <t>VEREDICTO RÁPIDO</t>
        </is>
      </c>
      <c r="B8" s="4" t="inlineStr"/>
    </row>
    <row r="9">
      <c r="A9" s="6" t="inlineStr">
        <is>
          <t>Melhor canal principal</t>
        </is>
      </c>
      <c r="B9" s="4" t="inlineStr">
        <is>
          <t>Meta Ads (WhatsApp) — volume local</t>
        </is>
      </c>
    </row>
    <row r="10">
      <c r="A10" s="6" t="inlineStr">
        <is>
          <t>Melhor canal de intenção</t>
        </is>
      </c>
      <c r="B10" s="4" t="inlineStr">
        <is>
          <t>Google Search/Maps — quem já busca despachante</t>
        </is>
      </c>
    </row>
    <row r="11">
      <c r="A11" s="6" t="inlineStr">
        <is>
          <t>Mix sugerido em R$ 500</t>
        </is>
      </c>
      <c r="B11" s="4" t="inlineStr">
        <is>
          <t>70% Meta · 30% Google</t>
        </is>
      </c>
    </row>
    <row r="12">
      <c r="A12" s="6" t="inlineStr">
        <is>
          <t>Mix sugerido em R$ 1.000</t>
        </is>
      </c>
      <c r="B12" s="4" t="inlineStr">
        <is>
          <t>60% Meta · 40% Google</t>
        </is>
      </c>
    </row>
    <row r="13">
      <c r="A13" s="6" t="inlineStr">
        <is>
          <t>Raio de targeting</t>
        </is>
      </c>
      <c r="B13" s="4" t="inlineStr">
        <is>
          <t>15–20 km (Cosmópolis + Artur Nogueira)</t>
        </is>
      </c>
    </row>
    <row r="14">
      <c r="A14" s="6" t="inlineStr">
        <is>
          <t>Faixa etária</t>
        </is>
      </c>
      <c r="B14" s="4" t="inlineStr">
        <is>
          <t>25–54 anos</t>
        </is>
      </c>
    </row>
    <row r="15">
      <c r="A15" s="6" t="inlineStr">
        <is>
          <t>LT break-even (cenário base)</t>
        </is>
      </c>
      <c r="B15" s="4" t="inlineStr">
        <is>
          <t>Mês 1 — se bater CPA base</t>
        </is>
      </c>
    </row>
    <row r="16">
      <c r="A16" s="6" t="inlineStr">
        <is>
          <t>LT início de ROI consistente</t>
        </is>
      </c>
      <c r="B16" s="4" t="inlineStr">
        <is>
          <t>Mês 2–3 (após otimização)</t>
        </is>
      </c>
    </row>
    <row r="18">
      <c r="A18" s="7" t="inlineStr">
        <is>
          <t>COMPARAÇÃO RÁPIDA — CENÁRIO BASE</t>
        </is>
      </c>
    </row>
    <row r="19">
      <c r="A19" s="8" t="inlineStr">
        <is>
          <t>Métrica</t>
        </is>
      </c>
      <c r="B19" s="8" t="inlineStr">
        <is>
          <t>R$ 500/mês</t>
        </is>
      </c>
      <c r="C19" s="8" t="inlineStr">
        <is>
          <t>R$ 1.000/mês</t>
        </is>
      </c>
    </row>
    <row r="20">
      <c r="A20" s="7" t="inlineStr">
        <is>
          <t>FATURAMENTO 12 MESES (realista)</t>
        </is>
      </c>
      <c r="B20" s="5" t="n">
        <v>500</v>
      </c>
      <c r="C20" s="5" t="n">
        <v>1000</v>
      </c>
    </row>
    <row r="21">
      <c r="A21" s="4" t="inlineStr">
        <is>
          <t>R$ 500/mês ads → ~R$ 106.106 no ano (~R$ 8.842/mês)</t>
        </is>
      </c>
      <c r="B21" s="9" t="n">
        <v>8.506493506493506</v>
      </c>
      <c r="C21" s="9" t="n">
        <v>16.62337662337662</v>
      </c>
    </row>
    <row r="22">
      <c r="A22" s="4" t="inlineStr">
        <is>
          <t>R$ 1.000/mês ads → ~R$ 144.901 no ano (~R$ 12.075/mês)</t>
        </is>
      </c>
      <c r="B22" s="9" t="n">
        <v>3.160456369899813</v>
      </c>
      <c r="C22" s="9" t="n">
        <v>6.320912739799627</v>
      </c>
    </row>
    <row r="23">
      <c r="A23" s="10" t="inlineStr">
        <is>
          <t>Detalhamento mês a mês na aba 07_Projecao_12_meses</t>
        </is>
      </c>
      <c r="B23" s="5" t="n">
        <v>3591.866883116883</v>
      </c>
      <c r="C23" s="5" t="n">
        <v>7019.220779220778</v>
      </c>
    </row>
    <row r="24">
      <c r="A24" s="11" t="inlineStr">
        <is>
          <t>Lucro bruto serviços</t>
        </is>
      </c>
      <c r="B24" s="5" t="n">
        <v>1345.769805194805</v>
      </c>
      <c r="C24" s="5" t="n">
        <v>2629.901298701299</v>
      </c>
    </row>
    <row r="25">
      <c r="A25" s="11" t="inlineStr">
        <is>
          <t>Lucro após mídia</t>
        </is>
      </c>
      <c r="B25" s="12" t="n">
        <v>845.7698051948053</v>
      </c>
      <c r="C25" s="12" t="n">
        <v>1629.901298701299</v>
      </c>
    </row>
    <row r="26">
      <c r="A26" s="11" t="inlineStr">
        <is>
          <t>ROI sobre mídia</t>
        </is>
      </c>
      <c r="B26" s="13" t="n">
        <v>1.691539610389611</v>
      </c>
      <c r="C26" s="13" t="n">
        <v>1.629901298701299</v>
      </c>
    </row>
    <row r="27">
      <c r="A27" s="11" t="inlineStr">
        <is>
          <t>ROAS (lucro/invest.)</t>
        </is>
      </c>
      <c r="B27" s="13" t="n">
        <v>2.691539610389611</v>
      </c>
      <c r="C27" s="13" t="n">
        <v>2.629901298701299</v>
      </c>
    </row>
    <row r="29">
      <c r="A29" s="10" t="inlineStr">
        <is>
          <t>Obs.: projeções usam CPA médio local (cidade pequena). Validar nas 2 primeiras semanas e ajustar.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</cols>
  <sheetData>
    <row r="1">
      <c r="A1" s="14" t="inlineStr">
        <is>
          <t>Tabela de custos e lucro (fonte: planilha do negócio)</t>
        </is>
      </c>
    </row>
    <row r="3">
      <c r="A3" s="15" t="inlineStr">
        <is>
          <t>Serviço</t>
        </is>
      </c>
      <c r="B3" s="15" t="inlineStr">
        <is>
          <t>Custo Processo</t>
        </is>
      </c>
      <c r="C3" s="15" t="inlineStr">
        <is>
          <t>Custo Operacional</t>
        </is>
      </c>
      <c r="D3" s="15" t="inlineStr">
        <is>
          <t>Custo Total</t>
        </is>
      </c>
      <c r="E3" s="15" t="inlineStr">
        <is>
          <t>Valor Cliente</t>
        </is>
      </c>
      <c r="F3" s="15" t="inlineStr">
        <is>
          <t>Lucro Bruto</t>
        </is>
      </c>
      <c r="G3" s="15" t="inlineStr">
        <is>
          <t>Mix tráfego</t>
        </is>
      </c>
      <c r="H3" s="15" t="inlineStr">
        <is>
          <t>Lucro ponderado</t>
        </is>
      </c>
    </row>
    <row r="4">
      <c r="A4" s="16" t="inlineStr">
        <is>
          <t>Transferência</t>
        </is>
      </c>
      <c r="B4" s="17" t="n">
        <v>296</v>
      </c>
      <c r="C4" s="17" t="n">
        <v>4.7</v>
      </c>
      <c r="D4" s="17" t="n">
        <v>300.7</v>
      </c>
      <c r="E4" s="17" t="n">
        <v>510</v>
      </c>
      <c r="F4" s="17" t="n">
        <v>209.3</v>
      </c>
      <c r="G4" s="18" t="n">
        <v>0.35</v>
      </c>
      <c r="H4" s="17" t="n">
        <v>73.255</v>
      </c>
    </row>
    <row r="5">
      <c r="A5" s="16" t="inlineStr">
        <is>
          <t>Licenciamento</t>
        </is>
      </c>
      <c r="B5" s="17" t="n">
        <v>175</v>
      </c>
      <c r="C5" s="17" t="n">
        <v>4.7</v>
      </c>
      <c r="D5" s="17" t="n">
        <v>179.7</v>
      </c>
      <c r="E5" s="17" t="n">
        <v>290</v>
      </c>
      <c r="F5" s="17" t="n">
        <v>110.3</v>
      </c>
      <c r="G5" s="18" t="n">
        <v>0.25</v>
      </c>
      <c r="H5" s="17" t="n">
        <v>27.575</v>
      </c>
    </row>
    <row r="6">
      <c r="A6" s="16" t="inlineStr">
        <is>
          <t>Licenciamento + Transferência</t>
        </is>
      </c>
      <c r="B6" s="17" t="n">
        <v>471</v>
      </c>
      <c r="C6" s="17" t="n">
        <v>4.7</v>
      </c>
      <c r="D6" s="17" t="n">
        <v>475.7</v>
      </c>
      <c r="E6" s="17" t="n">
        <v>690</v>
      </c>
      <c r="F6" s="17" t="n">
        <v>214.3</v>
      </c>
      <c r="G6" s="18" t="n">
        <v>0.2</v>
      </c>
      <c r="H6" s="17" t="n">
        <v>42.86000000000001</v>
      </c>
    </row>
    <row r="7">
      <c r="A7" s="16" t="inlineStr">
        <is>
          <t>Vistoria</t>
        </is>
      </c>
      <c r="B7" s="17" t="n">
        <v>90</v>
      </c>
      <c r="C7" s="17" t="n">
        <v>0</v>
      </c>
      <c r="D7" s="17" t="n">
        <v>90</v>
      </c>
      <c r="E7" s="17" t="n">
        <v>130</v>
      </c>
      <c r="F7" s="17" t="n">
        <v>40</v>
      </c>
      <c r="G7" s="18" t="n">
        <v>0.05</v>
      </c>
      <c r="H7" s="17" t="n">
        <v>2</v>
      </c>
    </row>
    <row r="8">
      <c r="A8" s="16" t="inlineStr">
        <is>
          <t>Placa Moto</t>
        </is>
      </c>
      <c r="B8" s="17" t="n">
        <v>85</v>
      </c>
      <c r="C8" s="17" t="n">
        <v>0</v>
      </c>
      <c r="D8" s="17" t="n">
        <v>85</v>
      </c>
      <c r="E8" s="17" t="n">
        <v>150</v>
      </c>
      <c r="F8" s="17" t="n">
        <v>65</v>
      </c>
      <c r="G8" s="18" t="n">
        <v>0</v>
      </c>
      <c r="H8" s="17" t="n">
        <v>0</v>
      </c>
    </row>
    <row r="9">
      <c r="A9" s="16" t="inlineStr">
        <is>
          <t>Placa Carro</t>
        </is>
      </c>
      <c r="B9" s="17" t="n">
        <v>140</v>
      </c>
      <c r="C9" s="17" t="n">
        <v>0</v>
      </c>
      <c r="D9" s="17" t="n">
        <v>140</v>
      </c>
      <c r="E9" s="17" t="n">
        <v>245</v>
      </c>
      <c r="F9" s="17" t="n">
        <v>105</v>
      </c>
      <c r="G9" s="18" t="n">
        <v>0.1</v>
      </c>
      <c r="H9" s="17" t="n">
        <v>10.5</v>
      </c>
    </row>
    <row r="10">
      <c r="A10" s="16" t="inlineStr">
        <is>
          <t>APTV</t>
        </is>
      </c>
      <c r="B10" s="17" t="n">
        <v>4.7</v>
      </c>
      <c r="C10" s="17" t="n">
        <v>0</v>
      </c>
      <c r="D10" s="17" t="n">
        <v>4.7</v>
      </c>
      <c r="E10" s="17" t="n">
        <v>45</v>
      </c>
      <c r="F10" s="17" t="n">
        <v>40.3</v>
      </c>
      <c r="G10" s="18" t="n">
        <v>0.05</v>
      </c>
      <c r="H10" s="17" t="n">
        <v>2.015</v>
      </c>
    </row>
    <row r="11">
      <c r="A11" s="16" t="inlineStr">
        <is>
          <t>Emissão de Porte</t>
        </is>
      </c>
      <c r="B11" s="17" t="n">
        <v>4.7</v>
      </c>
      <c r="C11" s="17" t="n">
        <v>0</v>
      </c>
      <c r="D11" s="17" t="n">
        <v>4.7</v>
      </c>
      <c r="E11" s="17" t="n">
        <v>45</v>
      </c>
      <c r="F11" s="17" t="n">
        <v>40.3</v>
      </c>
      <c r="G11" s="18" t="n">
        <v>0</v>
      </c>
      <c r="H11" s="17" t="n">
        <v>0</v>
      </c>
    </row>
    <row r="13">
      <c r="A13" s="19" t="inlineStr">
        <is>
          <t>LUCRO MÉDIO PONDERADO</t>
        </is>
      </c>
      <c r="B13" s="20" t="n">
        <v>158.205</v>
      </c>
    </row>
    <row r="14">
      <c r="A14" s="19" t="inlineStr">
        <is>
          <t>TICKET MÉDIO PONDERADO</t>
        </is>
      </c>
      <c r="B14" s="5" t="n">
        <v>422.25</v>
      </c>
    </row>
    <row r="17">
      <c r="A17" s="7" t="inlineStr">
        <is>
          <t>Como ler</t>
        </is>
      </c>
    </row>
    <row r="18">
      <c r="A18" s="11" t="inlineStr">
        <is>
          <t>O lucro bruto é o que sobra DEPOIS dos custos do processo e operacionais — é ele que paga a mídia e gera ROI.</t>
        </is>
      </c>
    </row>
    <row r="19">
      <c r="A19" s="11" t="inlineStr">
        <is>
          <t>Break-even de mídia = Investimento ÷ Lucro bruto médio. Ex.: R$ 500 ÷ R$ 158 ≈ 3,2 serviços fechados.</t>
        </is>
      </c>
    </row>
    <row r="20">
      <c r="A20" s="11" t="inlineStr">
        <is>
          <t>Ajuste a coluna Mix se a carteira de leads vier diferente (ex.: mais licenciamento no começo do ano).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40" customWidth="1" min="4" max="4"/>
    <col width="14" customWidth="1" min="5" max="5"/>
    <col width="42" customWidth="1" min="6" max="6"/>
  </cols>
  <sheetData>
    <row r="1">
      <c r="A1" s="14" t="inlineStr">
        <is>
          <t>Google vs Meta — o que usar, raio, idade e criativos</t>
        </is>
      </c>
    </row>
    <row r="3">
      <c r="A3" s="8" t="inlineStr">
        <is>
          <t>Tema</t>
        </is>
      </c>
      <c r="B3" s="8" t="inlineStr">
        <is>
          <t>Meta Ads</t>
        </is>
      </c>
      <c r="C3" s="8" t="inlineStr">
        <is>
          <t>Google Ads</t>
        </is>
      </c>
      <c r="D3" s="8" t="inlineStr">
        <is>
          <t>Recomendação</t>
        </is>
      </c>
    </row>
    <row r="4" ht="48" customHeight="1">
      <c r="A4" s="21" t="inlineStr">
        <is>
          <t>Papel principal</t>
        </is>
      </c>
      <c r="B4" s="21" t="inlineStr">
        <is>
          <t>Volume + WhatsApp (topo/meio de funil)</t>
        </is>
      </c>
      <c r="C4" s="21" t="inlineStr">
        <is>
          <t>Intenção alta (fundo de funil)</t>
        </is>
      </c>
      <c r="D4" s="21" t="inlineStr">
        <is>
          <t>Meta como motor; Google como captura</t>
        </is>
      </c>
    </row>
    <row r="5" ht="48" customHeight="1">
      <c r="A5" s="21" t="inlineStr">
        <is>
          <t>Formatos</t>
        </is>
      </c>
      <c r="B5" s="21" t="inlineStr">
        <is>
          <t>Tráfego p/ WhatsApp, Local Awareness, Reels/Feed</t>
        </is>
      </c>
      <c r="C5" s="21" t="inlineStr">
        <is>
          <t>Search + Performance Max + Perfil Business/Maps</t>
        </is>
      </c>
      <c r="D5" s="21" t="inlineStr">
        <is>
          <t>WhatsApp clique no Meta; palavras-chave no Google</t>
        </is>
      </c>
    </row>
    <row r="6" ht="48" customHeight="1">
      <c r="A6" s="21" t="inlineStr">
        <is>
          <t>CPA estimado (base)</t>
        </is>
      </c>
      <c r="B6" s="21" t="inlineStr">
        <is>
          <t>R$ 55 / serviço fechado</t>
        </is>
      </c>
      <c r="C6" s="21" t="inlineStr">
        <is>
          <t>R$ 70 / serviço fechado</t>
        </is>
      </c>
      <c r="D6" s="21" t="inlineStr">
        <is>
          <t>Meta mais barato; Google converte melhor quem busca</t>
        </is>
      </c>
    </row>
    <row r="7" ht="48" customHeight="1">
      <c r="A7" s="21" t="inlineStr">
        <is>
          <t>Quando priorizar</t>
        </is>
      </c>
      <c r="B7" s="21" t="inlineStr">
        <is>
          <t>Orçamento baixo, marca nova, prova social</t>
        </is>
      </c>
      <c r="C7" s="21" t="inlineStr">
        <is>
          <t>Já tem demanda de busca / Maps forte</t>
        </is>
      </c>
      <c r="D7" s="21" t="inlineStr">
        <is>
          <t>Começar Meta; escalar Google no R$ 1.000</t>
        </is>
      </c>
    </row>
    <row r="8" ht="48" customHeight="1">
      <c r="A8" s="21" t="inlineStr">
        <is>
          <t>Raio geográfico</t>
        </is>
      </c>
      <c r="B8" s="21" t="inlineStr">
        <is>
          <t>15–20 km do Campo do Kigol</t>
        </is>
      </c>
      <c r="C8" s="21" t="inlineStr">
        <is>
          <t>Cosmópolis + Artur Nogueira (+ interesse)</t>
        </is>
      </c>
      <c r="D8" s="21" t="inlineStr">
        <is>
          <t>Não abrir &gt;25 km no início (dilui orçamento)</t>
        </is>
      </c>
    </row>
    <row r="9" ht="48" customHeight="1">
      <c r="A9" s="21" t="inlineStr">
        <is>
          <t>Faixa etária</t>
        </is>
      </c>
      <c r="B9" s="21" t="inlineStr">
        <is>
          <t>25–54 (core 30–49)</t>
        </is>
      </c>
      <c r="C9" s="21" t="inlineStr">
        <is>
          <t>Não forçar idade no Search; no Display 25–54</t>
        </is>
      </c>
      <c r="D9" s="21" t="inlineStr">
        <is>
          <t>25–54 cobre comprador/vendedor de carro</t>
        </is>
      </c>
    </row>
    <row r="10" ht="48" customHeight="1">
      <c r="A10" s="21" t="inlineStr">
        <is>
          <t>Gênero</t>
        </is>
      </c>
      <c r="B10" s="21" t="inlineStr">
        <is>
          <t>Todos</t>
        </is>
      </c>
      <c r="C10" s="21" t="inlineStr">
        <is>
          <t>Todos</t>
        </is>
      </c>
      <c r="D10" s="21" t="inlineStr">
        <is>
          <t>Sem restrição</t>
        </is>
      </c>
    </row>
    <row r="11" ht="48" customHeight="1">
      <c r="A11" s="21" t="inlineStr">
        <is>
          <t>Interesses / palavras</t>
        </is>
      </c>
      <c r="B11" s="21" t="inlineStr">
        <is>
          <t>Carros, DETRAN, compra/venda veículo, moto</t>
        </is>
      </c>
      <c r="C11" s="21" t="inlineStr">
        <is>
          <t>despachante cosmópolis, transferência veículo, licenciamento</t>
        </is>
      </c>
      <c r="D11" s="21" t="inlineStr">
        <is>
          <t>Google = intenção; Meta = contexto + remarketing</t>
        </is>
      </c>
    </row>
    <row r="12" ht="48" customHeight="1">
      <c r="A12" s="21" t="inlineStr">
        <is>
          <t>Horário</t>
        </is>
      </c>
      <c r="B12" s="21" t="inlineStr">
        <is>
          <t>Seg–Sáb 8h–20h (pico 10h–13h e 17h–20h)</t>
        </is>
      </c>
      <c r="C12" s="21" t="inlineStr">
        <is>
          <t>Mesmo horário + finais de semana se atender</t>
        </is>
      </c>
      <c r="D12" s="21" t="inlineStr">
        <is>
          <t>Alinhar com horário real de WhatsApp</t>
        </is>
      </c>
    </row>
    <row r="13" ht="48" customHeight="1">
      <c r="A13" s="21" t="inlineStr">
        <is>
          <t>Criativo</t>
        </is>
      </c>
      <c r="B13" s="21" t="inlineStr">
        <is>
          <t>Fotos pessoas/carro + CTA WhatsApp + telefone</t>
        </is>
      </c>
      <c r="C13" s="21" t="inlineStr">
        <is>
          <t>Extensões de ligação/local + sitelinks serviços</t>
        </is>
      </c>
      <c r="D13" s="21" t="inlineStr">
        <is>
          <t>Usar os criativos já feitos no repositório</t>
        </is>
      </c>
    </row>
    <row r="14" ht="48" customHeight="1">
      <c r="A14" s="21" t="inlineStr">
        <is>
          <t>KPI principal</t>
        </is>
      </c>
      <c r="B14" s="21" t="inlineStr">
        <is>
          <t>Conversas WhatsApp → fechamentos</t>
        </is>
      </c>
      <c r="C14" s="21" t="inlineStr">
        <is>
          <t>Cliques → ligações/WhatsApp → fechamentos</t>
        </is>
      </c>
      <c r="D14" s="21" t="inlineStr">
        <is>
          <t>Marcar origem no WhatsApp (Meta/Google)</t>
        </is>
      </c>
    </row>
    <row r="17">
      <c r="A17" s="7" t="inlineStr">
        <is>
          <t>SPLIT DE ORÇAMENTO SUGERIDO</t>
        </is>
      </c>
    </row>
    <row r="18">
      <c r="A18" s="22" t="inlineStr">
        <is>
          <t>Investimento</t>
        </is>
      </c>
      <c r="B18" s="22" t="inlineStr">
        <is>
          <t>% Meta</t>
        </is>
      </c>
      <c r="C18" s="22" t="inlineStr">
        <is>
          <t>% Google</t>
        </is>
      </c>
      <c r="D18" s="22" t="inlineStr">
        <is>
          <t>R$ Meta</t>
        </is>
      </c>
      <c r="E18" s="22" t="inlineStr">
        <is>
          <t>R$ Google</t>
        </is>
      </c>
      <c r="F18" s="22" t="inlineStr">
        <is>
          <t>Por quê</t>
        </is>
      </c>
    </row>
    <row r="19">
      <c r="A19" s="5" t="n">
        <v>500</v>
      </c>
      <c r="B19" s="13" t="n">
        <v>0.7</v>
      </c>
      <c r="C19" s="13" t="n">
        <v>0.3</v>
      </c>
      <c r="D19" s="5" t="n">
        <v>350</v>
      </c>
      <c r="E19" s="5" t="n">
        <v>150</v>
      </c>
      <c r="F19" s="11" t="inlineStr">
        <is>
          <t>Pouca verba: gerar conversa no WhatsApp primeiro</t>
        </is>
      </c>
    </row>
    <row r="20">
      <c r="A20" s="5" t="n">
        <v>1000</v>
      </c>
      <c r="B20" s="13" t="n">
        <v>0.6</v>
      </c>
      <c r="C20" s="13" t="n">
        <v>0.4</v>
      </c>
      <c r="D20" s="5" t="n">
        <v>600</v>
      </c>
      <c r="E20" s="5" t="n">
        <v>400</v>
      </c>
      <c r="F20" s="11" t="inlineStr">
        <is>
          <t>Escala: capturar busca + reforçar marca</t>
        </is>
      </c>
    </row>
    <row r="23">
      <c r="A23" s="7" t="inlineStr">
        <is>
          <t>RAIO DETALHADO</t>
        </is>
      </c>
    </row>
    <row r="24">
      <c r="A24" s="11" t="inlineStr">
        <is>
          <t>Pino: R. Dr. Luiz Nicolau Nolandi / Campo do Kigol — Novo Horizonte, Cosmópolis-SP (CEP 13150-548)</t>
        </is>
      </c>
    </row>
    <row r="25">
      <c r="A25" s="11" t="inlineStr">
        <is>
          <t>Raio fase 1 (mês 1–2): 15 km — Cosmópolis inteira + borda Artur Nogueira</t>
        </is>
      </c>
    </row>
    <row r="26">
      <c r="A26" s="11" t="inlineStr">
        <is>
          <t>Raio fase 2 (se CPA ok): 20–25 km — Artur Nogueira e entorno</t>
        </is>
      </c>
    </row>
    <row r="27">
      <c r="A27" s="11" t="inlineStr">
        <is>
          <t>Evitar: Campinas/Paulínia amplo no começo (CPA sobe e atendimento dilui)</t>
        </is>
      </c>
    </row>
  </sheetData>
  <mergeCells count="5">
    <mergeCell ref="A24:F24"/>
    <mergeCell ref="A1:F1"/>
    <mergeCell ref="A27:F27"/>
    <mergeCell ref="A26:F26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14" customWidth="1" min="4" max="4"/>
    <col width="20" customWidth="1" min="5" max="5"/>
    <col width="16" customWidth="1" min="6" max="6"/>
    <col width="12" customWidth="1" min="7" max="7"/>
    <col width="16" customWidth="1" min="8" max="8"/>
    <col width="22" customWidth="1" min="9" max="9"/>
  </cols>
  <sheetData>
    <row r="1">
      <c r="A1" s="14" t="inlineStr">
        <is>
          <t>DRE projetado — investimento R$ 500/mês em tráfego</t>
        </is>
      </c>
    </row>
    <row r="2">
      <c r="A2" s="10" t="inlineStr">
        <is>
          <t>Lucro após mídia = (Vendas × Lucro bruto médio) − Investimento em ads. Não inclui aluguel/salário fixo.</t>
        </is>
      </c>
    </row>
    <row r="4">
      <c r="A4" s="6" t="inlineStr">
        <is>
          <t>CENÁRIOS DE CPA (custo por serviço fechado)</t>
        </is>
      </c>
    </row>
    <row r="5">
      <c r="A5" s="8" t="inlineStr">
        <is>
          <t>Indicador</t>
        </is>
      </c>
      <c r="B5" s="8" t="inlineStr">
        <is>
          <t>Conservador</t>
        </is>
      </c>
      <c r="C5" s="8" t="inlineStr">
        <is>
          <t>Base</t>
        </is>
      </c>
      <c r="D5" s="8" t="inlineStr">
        <is>
          <t>Otimista</t>
        </is>
      </c>
    </row>
    <row r="6">
      <c r="A6" s="11" t="inlineStr">
        <is>
          <t>Investimento mídia</t>
        </is>
      </c>
      <c r="B6" s="5" t="n">
        <v>500</v>
      </c>
      <c r="C6" s="5" t="n">
        <v>500</v>
      </c>
      <c r="D6" s="5" t="n">
        <v>500</v>
      </c>
    </row>
    <row r="7">
      <c r="A7" s="11" t="inlineStr">
        <is>
          <t>Verba Meta</t>
        </is>
      </c>
      <c r="B7" s="5" t="n">
        <v>350</v>
      </c>
      <c r="C7" s="5" t="n">
        <v>350</v>
      </c>
      <c r="D7" s="5" t="n">
        <v>350</v>
      </c>
    </row>
    <row r="8">
      <c r="A8" s="11" t="inlineStr">
        <is>
          <t>Verba Google</t>
        </is>
      </c>
      <c r="B8" s="5" t="n">
        <v>150</v>
      </c>
      <c r="C8" s="5" t="n">
        <v>150</v>
      </c>
      <c r="D8" s="5" t="n">
        <v>150</v>
      </c>
    </row>
    <row r="9">
      <c r="A9" s="11" t="inlineStr">
        <is>
          <t>CPA Meta</t>
        </is>
      </c>
      <c r="B9" s="5" t="n">
        <v>75</v>
      </c>
      <c r="C9" s="5" t="n">
        <v>55</v>
      </c>
      <c r="D9" s="5" t="n">
        <v>40</v>
      </c>
    </row>
    <row r="10">
      <c r="A10" s="11" t="inlineStr">
        <is>
          <t>CPA Google</t>
        </is>
      </c>
      <c r="B10" s="5" t="n">
        <v>95</v>
      </c>
      <c r="C10" s="5" t="n">
        <v>70</v>
      </c>
      <c r="D10" s="5" t="n">
        <v>50</v>
      </c>
    </row>
    <row r="11">
      <c r="A11" s="11" t="inlineStr">
        <is>
          <t>Vendas Meta</t>
        </is>
      </c>
      <c r="B11" s="23" t="n">
        <v>4.666666666666667</v>
      </c>
      <c r="C11" s="23" t="n">
        <v>6.363636363636363</v>
      </c>
      <c r="D11" s="23" t="n">
        <v>8.75</v>
      </c>
    </row>
    <row r="12">
      <c r="A12" s="11" t="inlineStr">
        <is>
          <t>Vendas Google</t>
        </is>
      </c>
      <c r="B12" s="23" t="n">
        <v>1.578947368421053</v>
      </c>
      <c r="C12" s="23" t="n">
        <v>2.142857142857143</v>
      </c>
      <c r="D12" s="23" t="n">
        <v>3</v>
      </c>
    </row>
    <row r="13">
      <c r="A13" s="11" t="inlineStr">
        <is>
          <t>Vendas totais / mês</t>
        </is>
      </c>
      <c r="B13" s="23" t="n">
        <v>6.245614035087719</v>
      </c>
      <c r="C13" s="23" t="n">
        <v>8.506493506493506</v>
      </c>
      <c r="D13" s="23" t="n">
        <v>11.75</v>
      </c>
    </row>
    <row r="14">
      <c r="A14" s="11" t="inlineStr">
        <is>
          <t>Vendas p/ break-even</t>
        </is>
      </c>
      <c r="B14" s="23" t="n">
        <v>3.160456369899813</v>
      </c>
      <c r="C14" s="23" t="n">
        <v>3.160456369899813</v>
      </c>
      <c r="D14" s="23" t="n">
        <v>3.160456369899813</v>
      </c>
    </row>
    <row r="15">
      <c r="A15" s="11" t="inlineStr">
        <is>
          <t>Receita bruta (ticket médio)</t>
        </is>
      </c>
      <c r="B15" s="5" t="n">
        <v>2637.21052631579</v>
      </c>
      <c r="C15" s="5" t="n">
        <v>3591.866883116883</v>
      </c>
      <c r="D15" s="5" t="n">
        <v>4961.4375</v>
      </c>
    </row>
    <row r="16">
      <c r="A16" s="11" t="inlineStr">
        <is>
          <t>(-) Custos processos/op. (implícitos no lucro)</t>
        </is>
      </c>
      <c r="B16" s="24" t="inlineStr">
        <is>
          <t>—</t>
        </is>
      </c>
      <c r="C16" s="24" t="inlineStr">
        <is>
          <t>—</t>
        </is>
      </c>
      <c r="D16" s="24" t="inlineStr">
        <is>
          <t>—</t>
        </is>
      </c>
    </row>
    <row r="17">
      <c r="A17" s="11" t="inlineStr">
        <is>
          <t>Lucro bruto dos serviços</t>
        </is>
      </c>
      <c r="B17" s="5" t="n">
        <v>988.0873684210527</v>
      </c>
      <c r="C17" s="5" t="n">
        <v>1345.769805194805</v>
      </c>
      <c r="D17" s="5" t="n">
        <v>1858.90875</v>
      </c>
    </row>
    <row r="18">
      <c r="A18" s="11" t="inlineStr">
        <is>
          <t>(-) Investimento mídia</t>
        </is>
      </c>
      <c r="B18" s="5" t="n">
        <v>500</v>
      </c>
      <c r="C18" s="5" t="n">
        <v>500</v>
      </c>
      <c r="D18" s="5" t="n">
        <v>500</v>
      </c>
    </row>
    <row r="19">
      <c r="A19" s="25">
        <f> Lucro após mídia</f>
        <v/>
      </c>
      <c r="B19" s="12" t="n">
        <v>488.0873684210527</v>
      </c>
      <c r="C19" s="12" t="n">
        <v>845.7698051948053</v>
      </c>
      <c r="D19" s="12" t="n">
        <v>1358.90875</v>
      </c>
    </row>
    <row r="20">
      <c r="A20" s="11" t="inlineStr">
        <is>
          <t>ROI (lucro após mídia / invest.)</t>
        </is>
      </c>
      <c r="B20" s="13" t="n">
        <v>0.9761747368421054</v>
      </c>
      <c r="C20" s="13" t="n">
        <v>1.691539610389611</v>
      </c>
      <c r="D20" s="13" t="n">
        <v>2.7178175</v>
      </c>
    </row>
    <row r="21">
      <c r="A21" s="11" t="inlineStr">
        <is>
          <t>ROAS lucro (lucro bruto / invest.)</t>
        </is>
      </c>
      <c r="B21" s="13" t="n">
        <v>1.976174736842105</v>
      </c>
      <c r="C21" s="13" t="n">
        <v>2.691539610389611</v>
      </c>
      <c r="D21" s="13" t="n">
        <v>3.7178175</v>
      </c>
    </row>
    <row r="24">
      <c r="A24" s="7" t="inlineStr">
        <is>
          <t>DRE MENSAL 6 MESES — CENÁRIO BASE (com curva de aprendizado)</t>
        </is>
      </c>
    </row>
    <row r="25">
      <c r="A25" s="10" t="inlineStr">
        <is>
          <t>Mês 1: CPA 20% pior | Mês 2: CPA base | Mês 3+: CPA 10% melhor (otimização)</t>
        </is>
      </c>
    </row>
    <row r="27">
      <c r="A27" s="22" t="inlineStr">
        <is>
          <t>Mês</t>
        </is>
      </c>
      <c r="B27" s="22" t="inlineStr">
        <is>
          <t>Investimento</t>
        </is>
      </c>
      <c r="C27" s="22" t="inlineStr">
        <is>
          <t>Vendas</t>
        </is>
      </c>
      <c r="D27" s="22" t="inlineStr">
        <is>
          <t>Receita</t>
        </is>
      </c>
      <c r="E27" s="22" t="inlineStr">
        <is>
          <t>Lucro bruto serviços</t>
        </is>
      </c>
      <c r="F27" s="22" t="inlineStr">
        <is>
          <t>Lucro após mídia</t>
        </is>
      </c>
      <c r="G27" s="22" t="inlineStr">
        <is>
          <t>ROI</t>
        </is>
      </c>
      <c r="H27" s="22" t="inlineStr">
        <is>
          <t>Lucro acumulado</t>
        </is>
      </c>
      <c r="I27" s="22" t="inlineStr">
        <is>
          <t>Status</t>
        </is>
      </c>
    </row>
    <row r="28">
      <c r="A28" s="11" t="inlineStr">
        <is>
          <t>Mês 1</t>
        </is>
      </c>
      <c r="B28" s="5" t="n">
        <v>500</v>
      </c>
      <c r="C28" s="26" t="n">
        <v>7.088744588744588</v>
      </c>
      <c r="D28" s="5" t="n">
        <v>2993.222402597402</v>
      </c>
      <c r="E28" s="5" t="n">
        <v>1121.474837662338</v>
      </c>
      <c r="F28" s="12" t="n">
        <v>621.4748376623377</v>
      </c>
      <c r="G28" s="13" t="n">
        <v>1.242949675324675</v>
      </c>
      <c r="H28" s="5" t="n">
        <v>621.4748376623377</v>
      </c>
      <c r="I28" s="27" t="inlineStr">
        <is>
          <t>Break-even acumulado</t>
        </is>
      </c>
    </row>
    <row r="29">
      <c r="A29" s="11" t="inlineStr">
        <is>
          <t>Mês 2</t>
        </is>
      </c>
      <c r="B29" s="5" t="n">
        <v>500</v>
      </c>
      <c r="C29" s="26" t="n">
        <v>8.506493506493506</v>
      </c>
      <c r="D29" s="5" t="n">
        <v>3591.866883116883</v>
      </c>
      <c r="E29" s="5" t="n">
        <v>1345.769805194805</v>
      </c>
      <c r="F29" s="12" t="n">
        <v>845.7698051948053</v>
      </c>
      <c r="G29" s="13" t="n">
        <v>1.691539610389611</v>
      </c>
      <c r="H29" s="5" t="n">
        <v>1467.244642857143</v>
      </c>
      <c r="I29" s="27" t="inlineStr">
        <is>
          <t>ROI positivo no mês</t>
        </is>
      </c>
    </row>
    <row r="30">
      <c r="A30" s="11" t="inlineStr">
        <is>
          <t>Mês 3</t>
        </is>
      </c>
      <c r="B30" s="5" t="n">
        <v>500</v>
      </c>
      <c r="C30" s="26" t="n">
        <v>9.451659451659451</v>
      </c>
      <c r="D30" s="5" t="n">
        <v>3990.963203463203</v>
      </c>
      <c r="E30" s="5" t="n">
        <v>1495.299783549784</v>
      </c>
      <c r="F30" s="12" t="n">
        <v>995.2997835497836</v>
      </c>
      <c r="G30" s="13" t="n">
        <v>1.990599567099567</v>
      </c>
      <c r="H30" s="5" t="n">
        <v>2462.544426406927</v>
      </c>
      <c r="I30" s="27" t="inlineStr">
        <is>
          <t>ROI positivo no mês</t>
        </is>
      </c>
    </row>
    <row r="31">
      <c r="A31" s="11" t="inlineStr">
        <is>
          <t>Mês 4</t>
        </is>
      </c>
      <c r="B31" s="5" t="n">
        <v>500</v>
      </c>
      <c r="C31" s="26" t="n">
        <v>9.451659451659451</v>
      </c>
      <c r="D31" s="5" t="n">
        <v>3990.963203463203</v>
      </c>
      <c r="E31" s="5" t="n">
        <v>1495.299783549784</v>
      </c>
      <c r="F31" s="12" t="n">
        <v>995.2997835497836</v>
      </c>
      <c r="G31" s="13" t="n">
        <v>1.990599567099567</v>
      </c>
      <c r="H31" s="5" t="n">
        <v>3457.84420995671</v>
      </c>
      <c r="I31" s="27" t="inlineStr">
        <is>
          <t>ROI positivo no mês</t>
        </is>
      </c>
    </row>
    <row r="32">
      <c r="A32" s="11" t="inlineStr">
        <is>
          <t>Mês 5</t>
        </is>
      </c>
      <c r="B32" s="5" t="n">
        <v>500</v>
      </c>
      <c r="C32" s="26" t="n">
        <v>10.00763941940412</v>
      </c>
      <c r="D32" s="5" t="n">
        <v>4225.725744843392</v>
      </c>
      <c r="E32" s="5" t="n">
        <v>1583.25859434683</v>
      </c>
      <c r="F32" s="12" t="n">
        <v>1083.25859434683</v>
      </c>
      <c r="G32" s="13" t="n">
        <v>2.16651718869366</v>
      </c>
      <c r="H32" s="5" t="n">
        <v>4541.10280430354</v>
      </c>
      <c r="I32" s="27" t="inlineStr">
        <is>
          <t>ROI positivo no mês</t>
        </is>
      </c>
    </row>
    <row r="33">
      <c r="A33" s="11" t="inlineStr">
        <is>
          <t>Mês 6</t>
        </is>
      </c>
      <c r="B33" s="5" t="n">
        <v>500</v>
      </c>
      <c r="C33" s="26" t="n">
        <v>10.00763941940412</v>
      </c>
      <c r="D33" s="5" t="n">
        <v>4225.725744843392</v>
      </c>
      <c r="E33" s="5" t="n">
        <v>1583.25859434683</v>
      </c>
      <c r="F33" s="12" t="n">
        <v>1083.25859434683</v>
      </c>
      <c r="G33" s="13" t="n">
        <v>2.16651718869366</v>
      </c>
      <c r="H33" s="5" t="n">
        <v>5624.36139865037</v>
      </c>
      <c r="I33" s="27" t="inlineStr">
        <is>
          <t>ROI positivo no mês</t>
        </is>
      </c>
    </row>
    <row r="35">
      <c r="A35" s="7" t="inlineStr">
        <is>
          <t>LT (PRAZO) — LEITURA</t>
        </is>
      </c>
    </row>
    <row r="36">
      <c r="A36" s="11" t="inlineStr">
        <is>
          <t>LT break-even (vendas no mês): 3.2 serviços fechados para cobrir R$ 500</t>
        </is>
      </c>
    </row>
    <row r="37">
      <c r="A37" s="11" t="inlineStr">
        <is>
          <t>LT break-even acumulado (cenário base com curva): Mês 1</t>
        </is>
      </c>
    </row>
    <row r="38">
      <c r="A38" s="11" t="inlineStr">
        <is>
          <t>LT que começa a dar ROI no mês (lucro após mídia &gt; 0): Mês 1</t>
        </is>
      </c>
    </row>
    <row r="39">
      <c r="A39" s="11" t="inlineStr">
        <is>
          <t>ROI consistente (após otimização CPA): a partir do Mês 2–3, mantendo tracking de origem no WhatsApp.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14" customWidth="1" min="4" max="4"/>
    <col width="20" customWidth="1" min="5" max="5"/>
    <col width="16" customWidth="1" min="6" max="6"/>
    <col width="12" customWidth="1" min="7" max="7"/>
    <col width="16" customWidth="1" min="8" max="8"/>
    <col width="22" customWidth="1" min="9" max="9"/>
  </cols>
  <sheetData>
    <row r="1">
      <c r="A1" s="14" t="inlineStr">
        <is>
          <t>DRE projetado — investimento R$ 1.000/mês em tráfego</t>
        </is>
      </c>
    </row>
    <row r="2">
      <c r="A2" s="10" t="inlineStr">
        <is>
          <t>Lucro após mídia = (Vendas × Lucro bruto médio) − Investimento em ads. Não inclui aluguel/salário fixo.</t>
        </is>
      </c>
    </row>
    <row r="4">
      <c r="A4" s="6" t="inlineStr">
        <is>
          <t>CENÁRIOS DE CPA (custo por serviço fechado)</t>
        </is>
      </c>
    </row>
    <row r="5">
      <c r="A5" s="8" t="inlineStr">
        <is>
          <t>Indicador</t>
        </is>
      </c>
      <c r="B5" s="8" t="inlineStr">
        <is>
          <t>Conservador</t>
        </is>
      </c>
      <c r="C5" s="8" t="inlineStr">
        <is>
          <t>Base</t>
        </is>
      </c>
      <c r="D5" s="8" t="inlineStr">
        <is>
          <t>Otimista</t>
        </is>
      </c>
    </row>
    <row r="6">
      <c r="A6" s="11" t="inlineStr">
        <is>
          <t>Investimento mídia</t>
        </is>
      </c>
      <c r="B6" s="5" t="n">
        <v>1000</v>
      </c>
      <c r="C6" s="5" t="n">
        <v>1000</v>
      </c>
      <c r="D6" s="5" t="n">
        <v>1000</v>
      </c>
    </row>
    <row r="7">
      <c r="A7" s="11" t="inlineStr">
        <is>
          <t>Verba Meta</t>
        </is>
      </c>
      <c r="B7" s="5" t="n">
        <v>600</v>
      </c>
      <c r="C7" s="5" t="n">
        <v>600</v>
      </c>
      <c r="D7" s="5" t="n">
        <v>600</v>
      </c>
    </row>
    <row r="8">
      <c r="A8" s="11" t="inlineStr">
        <is>
          <t>Verba Google</t>
        </is>
      </c>
      <c r="B8" s="5" t="n">
        <v>400</v>
      </c>
      <c r="C8" s="5" t="n">
        <v>400</v>
      </c>
      <c r="D8" s="5" t="n">
        <v>400</v>
      </c>
    </row>
    <row r="9">
      <c r="A9" s="11" t="inlineStr">
        <is>
          <t>CPA Meta</t>
        </is>
      </c>
      <c r="B9" s="5" t="n">
        <v>75</v>
      </c>
      <c r="C9" s="5" t="n">
        <v>55</v>
      </c>
      <c r="D9" s="5" t="n">
        <v>40</v>
      </c>
    </row>
    <row r="10">
      <c r="A10" s="11" t="inlineStr">
        <is>
          <t>CPA Google</t>
        </is>
      </c>
      <c r="B10" s="5" t="n">
        <v>95</v>
      </c>
      <c r="C10" s="5" t="n">
        <v>70</v>
      </c>
      <c r="D10" s="5" t="n">
        <v>50</v>
      </c>
    </row>
    <row r="11">
      <c r="A11" s="11" t="inlineStr">
        <is>
          <t>Vendas Meta</t>
        </is>
      </c>
      <c r="B11" s="23" t="n">
        <v>8</v>
      </c>
      <c r="C11" s="23" t="n">
        <v>10.90909090909091</v>
      </c>
      <c r="D11" s="23" t="n">
        <v>15</v>
      </c>
    </row>
    <row r="12">
      <c r="A12" s="11" t="inlineStr">
        <is>
          <t>Vendas Google</t>
        </is>
      </c>
      <c r="B12" s="23" t="n">
        <v>4.210526315789473</v>
      </c>
      <c r="C12" s="23" t="n">
        <v>5.714285714285714</v>
      </c>
      <c r="D12" s="23" t="n">
        <v>8</v>
      </c>
    </row>
    <row r="13">
      <c r="A13" s="11" t="inlineStr">
        <is>
          <t>Vendas totais / mês</t>
        </is>
      </c>
      <c r="B13" s="23" t="n">
        <v>12.21052631578947</v>
      </c>
      <c r="C13" s="23" t="n">
        <v>16.62337662337662</v>
      </c>
      <c r="D13" s="23" t="n">
        <v>23</v>
      </c>
    </row>
    <row r="14">
      <c r="A14" s="11" t="inlineStr">
        <is>
          <t>Vendas p/ break-even</t>
        </is>
      </c>
      <c r="B14" s="23" t="n">
        <v>6.320912739799627</v>
      </c>
      <c r="C14" s="23" t="n">
        <v>6.320912739799627</v>
      </c>
      <c r="D14" s="23" t="n">
        <v>6.320912739799627</v>
      </c>
    </row>
    <row r="15">
      <c r="A15" s="11" t="inlineStr">
        <is>
          <t>Receita bruta (ticket médio)</t>
        </is>
      </c>
      <c r="B15" s="5" t="n">
        <v>5155.894736842105</v>
      </c>
      <c r="C15" s="5" t="n">
        <v>7019.220779220778</v>
      </c>
      <c r="D15" s="5" t="n">
        <v>9711.75</v>
      </c>
    </row>
    <row r="16">
      <c r="A16" s="11" t="inlineStr">
        <is>
          <t>(-) Custos processos/op. (implícitos no lucro)</t>
        </is>
      </c>
      <c r="B16" s="24" t="inlineStr">
        <is>
          <t>—</t>
        </is>
      </c>
      <c r="C16" s="24" t="inlineStr">
        <is>
          <t>—</t>
        </is>
      </c>
      <c r="D16" s="24" t="inlineStr">
        <is>
          <t>—</t>
        </is>
      </c>
    </row>
    <row r="17">
      <c r="A17" s="11" t="inlineStr">
        <is>
          <t>Lucro bruto dos serviços</t>
        </is>
      </c>
      <c r="B17" s="5" t="n">
        <v>1931.766315789474</v>
      </c>
      <c r="C17" s="5" t="n">
        <v>2629.901298701299</v>
      </c>
      <c r="D17" s="5" t="n">
        <v>3638.715</v>
      </c>
    </row>
    <row r="18">
      <c r="A18" s="11" t="inlineStr">
        <is>
          <t>(-) Investimento mídia</t>
        </is>
      </c>
      <c r="B18" s="5" t="n">
        <v>1000</v>
      </c>
      <c r="C18" s="5" t="n">
        <v>1000</v>
      </c>
      <c r="D18" s="5" t="n">
        <v>1000</v>
      </c>
    </row>
    <row r="19">
      <c r="A19" s="25">
        <f> Lucro após mídia</f>
        <v/>
      </c>
      <c r="B19" s="12" t="n">
        <v>931.7663157894738</v>
      </c>
      <c r="C19" s="12" t="n">
        <v>1629.901298701299</v>
      </c>
      <c r="D19" s="12" t="n">
        <v>2638.715</v>
      </c>
    </row>
    <row r="20">
      <c r="A20" s="11" t="inlineStr">
        <is>
          <t>ROI (lucro após mídia / invest.)</t>
        </is>
      </c>
      <c r="B20" s="13" t="n">
        <v>0.9317663157894738</v>
      </c>
      <c r="C20" s="13" t="n">
        <v>1.629901298701299</v>
      </c>
      <c r="D20" s="13" t="n">
        <v>2.638715</v>
      </c>
    </row>
    <row r="21">
      <c r="A21" s="11" t="inlineStr">
        <is>
          <t>ROAS lucro (lucro bruto / invest.)</t>
        </is>
      </c>
      <c r="B21" s="13" t="n">
        <v>1.931766315789474</v>
      </c>
      <c r="C21" s="13" t="n">
        <v>2.629901298701299</v>
      </c>
      <c r="D21" s="13" t="n">
        <v>3.638715</v>
      </c>
    </row>
    <row r="24">
      <c r="A24" s="7" t="inlineStr">
        <is>
          <t>DRE MENSAL 6 MESES — CENÁRIO BASE (com curva de aprendizado)</t>
        </is>
      </c>
    </row>
    <row r="25">
      <c r="A25" s="10" t="inlineStr">
        <is>
          <t>Mês 1: CPA 20% pior | Mês 2: CPA base | Mês 3+: CPA 10% melhor (otimização)</t>
        </is>
      </c>
    </row>
    <row r="27">
      <c r="A27" s="22" t="inlineStr">
        <is>
          <t>Mês</t>
        </is>
      </c>
      <c r="B27" s="22" t="inlineStr">
        <is>
          <t>Investimento</t>
        </is>
      </c>
      <c r="C27" s="22" t="inlineStr">
        <is>
          <t>Vendas</t>
        </is>
      </c>
      <c r="D27" s="22" t="inlineStr">
        <is>
          <t>Receita</t>
        </is>
      </c>
      <c r="E27" s="22" t="inlineStr">
        <is>
          <t>Lucro bruto serviços</t>
        </is>
      </c>
      <c r="F27" s="22" t="inlineStr">
        <is>
          <t>Lucro após mídia</t>
        </is>
      </c>
      <c r="G27" s="22" t="inlineStr">
        <is>
          <t>ROI</t>
        </is>
      </c>
      <c r="H27" s="22" t="inlineStr">
        <is>
          <t>Lucro acumulado</t>
        </is>
      </c>
      <c r="I27" s="22" t="inlineStr">
        <is>
          <t>Status</t>
        </is>
      </c>
    </row>
    <row r="28">
      <c r="A28" s="11" t="inlineStr">
        <is>
          <t>Mês 1</t>
        </is>
      </c>
      <c r="B28" s="5" t="n">
        <v>1000</v>
      </c>
      <c r="C28" s="26" t="n">
        <v>13.85281385281385</v>
      </c>
      <c r="D28" s="5" t="n">
        <v>5849.350649350649</v>
      </c>
      <c r="E28" s="5" t="n">
        <v>2191.584415584416</v>
      </c>
      <c r="F28" s="12" t="n">
        <v>1191.584415584416</v>
      </c>
      <c r="G28" s="13" t="n">
        <v>1.191584415584416</v>
      </c>
      <c r="H28" s="5" t="n">
        <v>1191.584415584416</v>
      </c>
      <c r="I28" s="27" t="inlineStr">
        <is>
          <t>Break-even acumulado</t>
        </is>
      </c>
    </row>
    <row r="29">
      <c r="A29" s="11" t="inlineStr">
        <is>
          <t>Mês 2</t>
        </is>
      </c>
      <c r="B29" s="5" t="n">
        <v>1000</v>
      </c>
      <c r="C29" s="26" t="n">
        <v>16.62337662337662</v>
      </c>
      <c r="D29" s="5" t="n">
        <v>7019.220779220778</v>
      </c>
      <c r="E29" s="5" t="n">
        <v>2629.901298701299</v>
      </c>
      <c r="F29" s="12" t="n">
        <v>1629.901298701299</v>
      </c>
      <c r="G29" s="13" t="n">
        <v>1.629901298701299</v>
      </c>
      <c r="H29" s="5" t="n">
        <v>2821.485714285714</v>
      </c>
      <c r="I29" s="27" t="inlineStr">
        <is>
          <t>ROI positivo no mês</t>
        </is>
      </c>
    </row>
    <row r="30">
      <c r="A30" s="11" t="inlineStr">
        <is>
          <t>Mês 3</t>
        </is>
      </c>
      <c r="B30" s="5" t="n">
        <v>1000</v>
      </c>
      <c r="C30" s="26" t="n">
        <v>18.47041847041847</v>
      </c>
      <c r="D30" s="5" t="n">
        <v>7799.134199134199</v>
      </c>
      <c r="E30" s="5" t="n">
        <v>2922.112554112554</v>
      </c>
      <c r="F30" s="12" t="n">
        <v>1922.112554112554</v>
      </c>
      <c r="G30" s="13" t="n">
        <v>1.922112554112554</v>
      </c>
      <c r="H30" s="5" t="n">
        <v>4743.598268398269</v>
      </c>
      <c r="I30" s="27" t="inlineStr">
        <is>
          <t>ROI positivo no mês</t>
        </is>
      </c>
    </row>
    <row r="31">
      <c r="A31" s="11" t="inlineStr">
        <is>
          <t>Mês 4</t>
        </is>
      </c>
      <c r="B31" s="5" t="n">
        <v>1000</v>
      </c>
      <c r="C31" s="26" t="n">
        <v>18.47041847041847</v>
      </c>
      <c r="D31" s="5" t="n">
        <v>7799.134199134199</v>
      </c>
      <c r="E31" s="5" t="n">
        <v>2922.112554112554</v>
      </c>
      <c r="F31" s="12" t="n">
        <v>1922.112554112554</v>
      </c>
      <c r="G31" s="13" t="n">
        <v>1.922112554112554</v>
      </c>
      <c r="H31" s="5" t="n">
        <v>6665.710822510824</v>
      </c>
      <c r="I31" s="27" t="inlineStr">
        <is>
          <t>ROI positivo no mês</t>
        </is>
      </c>
    </row>
    <row r="32">
      <c r="A32" s="11" t="inlineStr">
        <is>
          <t>Mês 5</t>
        </is>
      </c>
      <c r="B32" s="5" t="n">
        <v>1000</v>
      </c>
      <c r="C32" s="26" t="n">
        <v>19.55691367456073</v>
      </c>
      <c r="D32" s="5" t="n">
        <v>8257.90679908327</v>
      </c>
      <c r="E32" s="5" t="n">
        <v>3094.001527883881</v>
      </c>
      <c r="F32" s="12" t="n">
        <v>2094.001527883881</v>
      </c>
      <c r="G32" s="13" t="n">
        <v>2.094001527883881</v>
      </c>
      <c r="H32" s="5" t="n">
        <v>8759.712350394704</v>
      </c>
      <c r="I32" s="27" t="inlineStr">
        <is>
          <t>ROI positivo no mês</t>
        </is>
      </c>
    </row>
    <row r="33">
      <c r="A33" s="11" t="inlineStr">
        <is>
          <t>Mês 6</t>
        </is>
      </c>
      <c r="B33" s="5" t="n">
        <v>1000</v>
      </c>
      <c r="C33" s="26" t="n">
        <v>19.55691367456073</v>
      </c>
      <c r="D33" s="5" t="n">
        <v>8257.90679908327</v>
      </c>
      <c r="E33" s="5" t="n">
        <v>3094.001527883881</v>
      </c>
      <c r="F33" s="12" t="n">
        <v>2094.001527883881</v>
      </c>
      <c r="G33" s="13" t="n">
        <v>2.094001527883881</v>
      </c>
      <c r="H33" s="5" t="n">
        <v>10853.71387827858</v>
      </c>
      <c r="I33" s="27" t="inlineStr">
        <is>
          <t>ROI positivo no mês</t>
        </is>
      </c>
    </row>
    <row r="35">
      <c r="A35" s="7" t="inlineStr">
        <is>
          <t>LT (PRAZO) — LEITURA</t>
        </is>
      </c>
    </row>
    <row r="36">
      <c r="A36" s="11" t="inlineStr">
        <is>
          <t>LT break-even (vendas no mês): 6.3 serviços fechados para cobrir R$ 1000</t>
        </is>
      </c>
    </row>
    <row r="37">
      <c r="A37" s="11" t="inlineStr">
        <is>
          <t>LT break-even acumulado (cenário base com curva): Mês 1</t>
        </is>
      </c>
    </row>
    <row r="38">
      <c r="A38" s="11" t="inlineStr">
        <is>
          <t>LT que começa a dar ROI no mês (lucro após mídia &gt; 0): Mês 1</t>
        </is>
      </c>
    </row>
    <row r="39">
      <c r="A39" s="11" t="inlineStr">
        <is>
          <t>ROI consistente (após otimização CPA): a partir do Mês 2–3, mantendo tracking de origem no WhatsApp.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>
      <c r="A1" s="14" t="inlineStr">
        <is>
          <t>Break-even e ROI — quanto precisa vender</t>
        </is>
      </c>
    </row>
    <row r="3">
      <c r="A3" s="8" t="inlineStr">
        <is>
          <t>Investimento</t>
        </is>
      </c>
      <c r="B3" s="8" t="inlineStr">
        <is>
          <t>Lucro médio/serviço</t>
        </is>
      </c>
      <c r="C3" s="8" t="inlineStr">
        <is>
          <t>Vendas p/ BE</t>
        </is>
      </c>
      <c r="D3" s="8" t="inlineStr">
        <is>
          <t>Se fechar 4/mês</t>
        </is>
      </c>
      <c r="E3" s="8" t="inlineStr">
        <is>
          <t>Se fechar 6/mês</t>
        </is>
      </c>
      <c r="F3" s="8" t="inlineStr">
        <is>
          <t>Se fechar 8/mês</t>
        </is>
      </c>
      <c r="G3" s="8" t="inlineStr">
        <is>
          <t>LT BE (se 4 vendas/mês)</t>
        </is>
      </c>
    </row>
    <row r="4">
      <c r="A4" s="5" t="n">
        <v>500</v>
      </c>
      <c r="B4" s="5" t="n">
        <v>158.205</v>
      </c>
      <c r="C4" s="28" t="n">
        <v>3.160456369899813</v>
      </c>
      <c r="D4" s="12" t="n">
        <v>132.8200000000001</v>
      </c>
      <c r="E4" s="12" t="n">
        <v>449.23</v>
      </c>
      <c r="F4" s="12" t="n">
        <v>765.6400000000001</v>
      </c>
      <c r="G4" s="11" t="inlineStr">
        <is>
          <t>1 mês</t>
        </is>
      </c>
    </row>
    <row r="5">
      <c r="A5" s="5" t="n">
        <v>1000</v>
      </c>
      <c r="B5" s="5" t="n">
        <v>158.205</v>
      </c>
      <c r="C5" s="28" t="n">
        <v>6.320912739799627</v>
      </c>
      <c r="D5" s="29" t="n">
        <v>-367.1799999999999</v>
      </c>
      <c r="E5" s="29" t="n">
        <v>-50.76999999999998</v>
      </c>
      <c r="F5" s="12" t="n">
        <v>265.6400000000001</v>
      </c>
      <c r="G5" s="11" t="inlineStr">
        <is>
          <t>1.6 meses</t>
        </is>
      </c>
    </row>
    <row r="8">
      <c r="A8" s="7" t="inlineStr">
        <is>
          <t>POR SERVIÇO — quantos precisa para pagar a mídia</t>
        </is>
      </c>
    </row>
    <row r="9">
      <c r="A9" s="22" t="inlineStr">
        <is>
          <t>Serviço</t>
        </is>
      </c>
      <c r="B9" s="22" t="inlineStr">
        <is>
          <t>Lucro unitário</t>
        </is>
      </c>
      <c r="C9" s="22" t="inlineStr">
        <is>
          <t>Qtd p/ BE R$500</t>
        </is>
      </c>
      <c r="D9" s="22" t="inlineStr">
        <is>
          <t>Qtd p/ BE R$1.000</t>
        </is>
      </c>
    </row>
    <row r="10">
      <c r="A10" s="11" t="inlineStr">
        <is>
          <t>Transferência</t>
        </is>
      </c>
      <c r="B10" s="5" t="n">
        <v>209.3</v>
      </c>
      <c r="C10" s="28" t="n">
        <v>2.388915432393693</v>
      </c>
      <c r="D10" s="28" t="n">
        <v>4.777830864787386</v>
      </c>
    </row>
    <row r="11">
      <c r="A11" s="11" t="inlineStr">
        <is>
          <t>Licenciamento</t>
        </is>
      </c>
      <c r="B11" s="5" t="n">
        <v>110.3</v>
      </c>
      <c r="C11" s="28" t="n">
        <v>4.533091568449683</v>
      </c>
      <c r="D11" s="28" t="n">
        <v>9.066183136899365</v>
      </c>
    </row>
    <row r="12">
      <c r="A12" s="11" t="inlineStr">
        <is>
          <t>Licenciamento + Transferência</t>
        </is>
      </c>
      <c r="B12" s="5" t="n">
        <v>214.3</v>
      </c>
      <c r="C12" s="28" t="n">
        <v>2.333177788147457</v>
      </c>
      <c r="D12" s="28" t="n">
        <v>4.666355576294913</v>
      </c>
    </row>
    <row r="13">
      <c r="A13" s="11" t="inlineStr">
        <is>
          <t>Vistoria</t>
        </is>
      </c>
      <c r="B13" s="5" t="n">
        <v>40</v>
      </c>
      <c r="C13" s="28" t="n">
        <v>12.5</v>
      </c>
      <c r="D13" s="28" t="n">
        <v>25</v>
      </c>
    </row>
    <row r="14">
      <c r="A14" s="11" t="inlineStr">
        <is>
          <t>Placa Moto</t>
        </is>
      </c>
      <c r="B14" s="5" t="n">
        <v>65</v>
      </c>
      <c r="C14" s="28" t="n">
        <v>7.692307692307693</v>
      </c>
      <c r="D14" s="28" t="n">
        <v>15.38461538461539</v>
      </c>
    </row>
    <row r="15">
      <c r="A15" s="11" t="inlineStr">
        <is>
          <t>Placa Carro</t>
        </is>
      </c>
      <c r="B15" s="5" t="n">
        <v>105</v>
      </c>
      <c r="C15" s="28" t="n">
        <v>4.761904761904762</v>
      </c>
      <c r="D15" s="28" t="n">
        <v>9.523809523809524</v>
      </c>
    </row>
    <row r="16">
      <c r="A16" s="11" t="inlineStr">
        <is>
          <t>APTV</t>
        </is>
      </c>
      <c r="B16" s="5" t="n">
        <v>40.3</v>
      </c>
      <c r="C16" s="28" t="n">
        <v>12.40694789081886</v>
      </c>
      <c r="D16" s="28" t="n">
        <v>24.81389578163772</v>
      </c>
    </row>
    <row r="17">
      <c r="A17" s="11" t="inlineStr">
        <is>
          <t>Emissão de Porte</t>
        </is>
      </c>
      <c r="B17" s="5" t="n">
        <v>40.3</v>
      </c>
      <c r="C17" s="28" t="n">
        <v>12.40694789081886</v>
      </c>
      <c r="D17" s="28" t="n">
        <v>24.81389578163772</v>
      </c>
    </row>
    <row r="20">
      <c r="A20" s="7" t="inlineStr">
        <is>
          <t>INTERPRETAÇÃO LT</t>
        </is>
      </c>
    </row>
    <row r="21">
      <c r="A21" s="11" t="inlineStr">
        <is>
          <t>• LT break-even (operacional): quantidade de serviços no mês cujo lucro bruto cobre 100% da mídia.</t>
        </is>
      </c>
    </row>
    <row r="22">
      <c r="A22" s="11" t="inlineStr">
        <is>
          <t>• Com mix atual (~R$ 158/serviço): ~3.2 vendas em R$500 e ~6.3 em R$1.000.</t>
        </is>
      </c>
    </row>
    <row r="23">
      <c r="A23" s="11" t="inlineStr">
        <is>
          <t>• LT break-even acumulado: mês em que o lucro após mídia acumulado fica ≥ 0 (na aba DRE, com curva de aprendizado).</t>
        </is>
      </c>
    </row>
    <row r="24">
      <c r="A24" s="11" t="inlineStr">
        <is>
          <t>• LT início de ROI: primeiro mês com lucro após mídia &gt; 0 de forma recorrente — tipicamente Mês 1 (base) ou Mês 2 (se CPA alto no começo).</t>
        </is>
      </c>
    </row>
    <row r="25">
      <c r="A25" s="11" t="inlineStr">
        <is>
          <t>• ROI consistente: a partir do Mês 2–3, quando criativos, públicos e palavras-chave já foram otimizados.</t>
        </is>
      </c>
    </row>
    <row r="26">
      <c r="A26" s="11" t="inlineStr">
        <is>
          <t>• Acompanhe no WhatsApp tags: #meta / #google e serviço fechado — sem isso o CPA fica 'achismo'.</t>
        </is>
      </c>
    </row>
  </sheetData>
  <mergeCells count="6">
    <mergeCell ref="A23:D23"/>
    <mergeCell ref="A22:D22"/>
    <mergeCell ref="A26:D26"/>
    <mergeCell ref="A21:D21"/>
    <mergeCell ref="A25:D25"/>
    <mergeCell ref="A24:D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2" customWidth="1" min="4" max="4"/>
    <col width="24" customWidth="1" min="5" max="5"/>
    <col width="24" customWidth="1" min="6" max="6"/>
  </cols>
  <sheetData>
    <row r="1">
      <c r="A1" s="14" t="inlineStr">
        <is>
          <t>Plano prático — primeiros 30 dias</t>
        </is>
      </c>
    </row>
    <row r="3">
      <c r="A3" s="8" t="inlineStr">
        <is>
          <t>Semana</t>
        </is>
      </c>
      <c r="B3" s="8" t="inlineStr">
        <is>
          <t>Ação</t>
        </is>
      </c>
      <c r="C3" s="8" t="inlineStr">
        <is>
          <t>Canal</t>
        </is>
      </c>
      <c r="D3" s="8" t="inlineStr">
        <is>
          <t>Budget sugerido (se R$500)</t>
        </is>
      </c>
      <c r="E3" s="8" t="inlineStr">
        <is>
          <t>Budget sugerido (se R$1.000)</t>
        </is>
      </c>
      <c r="F3" s="8" t="inlineStr">
        <is>
          <t>Meta</t>
        </is>
      </c>
    </row>
    <row r="4">
      <c r="A4" s="11" t="inlineStr">
        <is>
          <t>Semana 1</t>
        </is>
      </c>
      <c r="B4" s="11" t="inlineStr">
        <is>
          <t>Subir Pixel/API WhatsApp + campanha mensagens + 3 criativos</t>
        </is>
      </c>
      <c r="C4" s="11" t="inlineStr">
        <is>
          <t>Meta</t>
        </is>
      </c>
      <c r="D4" s="5" t="n">
        <v>350</v>
      </c>
      <c r="E4" s="5" t="n">
        <v>600</v>
      </c>
      <c r="F4" s="11" t="inlineStr">
        <is>
          <t>30–50 conversas</t>
        </is>
      </c>
    </row>
    <row r="5">
      <c r="A5" s="11" t="inlineStr">
        <is>
          <t>Semana 1</t>
        </is>
      </c>
      <c r="B5" s="11" t="inlineStr">
        <is>
          <t>Campanha Search: despachante Cosmópolis + transferência</t>
        </is>
      </c>
      <c r="C5" s="11" t="inlineStr">
        <is>
          <t>Google</t>
        </is>
      </c>
      <c r="D5" s="5" t="n">
        <v>150</v>
      </c>
      <c r="E5" s="5" t="n">
        <v>400</v>
      </c>
      <c r="F5" s="11" t="inlineStr">
        <is>
          <t>15–30 cliques qualificados</t>
        </is>
      </c>
    </row>
    <row r="6">
      <c r="A6" s="11" t="inlineStr">
        <is>
          <t>Semana 2</t>
        </is>
      </c>
      <c r="B6" s="11" t="inlineStr">
        <is>
          <t>Cortar anúncio com CPL alto; reforçar melhor criativo</t>
        </is>
      </c>
      <c r="C6" s="11" t="inlineStr">
        <is>
          <t>Meta</t>
        </is>
      </c>
      <c r="D6" s="5" t="n">
        <v>350</v>
      </c>
      <c r="E6" s="5" t="n">
        <v>600</v>
      </c>
      <c r="F6" s="11" t="inlineStr">
        <is>
          <t>CPA conversa ↓ 20%</t>
        </is>
      </c>
    </row>
    <row r="7">
      <c r="A7" s="11" t="inlineStr">
        <is>
          <t>Semana 2</t>
        </is>
      </c>
      <c r="B7" s="11" t="inlineStr">
        <is>
          <t>Ativar extensão de local + ligação</t>
        </is>
      </c>
      <c r="C7" s="11" t="inlineStr">
        <is>
          <t>Google</t>
        </is>
      </c>
      <c r="D7" s="5" t="n">
        <v>150</v>
      </c>
      <c r="E7" s="5" t="n">
        <v>400</v>
      </c>
      <c r="F7" s="11" t="inlineStr">
        <is>
          <t>Chamadas/rotas Maps</t>
        </is>
      </c>
    </row>
    <row r="8">
      <c r="A8" s="11" t="inlineStr">
        <is>
          <t>Semana 3</t>
        </is>
      </c>
      <c r="B8" s="11" t="inlineStr">
        <is>
          <t>Remarketing quem abriu WhatsApp e não fechou</t>
        </is>
      </c>
      <c r="C8" s="11" t="inlineStr">
        <is>
          <t>Meta</t>
        </is>
      </c>
      <c r="D8" s="5" t="n">
        <v>350</v>
      </c>
      <c r="E8" s="5" t="n">
        <v>550</v>
      </c>
      <c r="F8" s="11" t="inlineStr">
        <is>
          <t>+fechamentos</t>
        </is>
      </c>
    </row>
    <row r="9">
      <c r="A9" s="11" t="inlineStr">
        <is>
          <t>Semana 3</t>
        </is>
      </c>
      <c r="B9" s="11" t="inlineStr">
        <is>
          <t>Ampliar keywords licenciamento / placa</t>
        </is>
      </c>
      <c r="C9" s="11" t="inlineStr">
        <is>
          <t>Google</t>
        </is>
      </c>
      <c r="D9" s="5" t="n">
        <v>150</v>
      </c>
      <c r="E9" s="5" t="n">
        <v>450</v>
      </c>
      <c r="F9" s="11" t="inlineStr">
        <is>
          <t>Mais intenção</t>
        </is>
      </c>
    </row>
    <row r="10">
      <c r="A10" s="11" t="inlineStr">
        <is>
          <t>Semana 4</t>
        </is>
      </c>
      <c r="B10" s="11" t="inlineStr">
        <is>
          <t>Fechar DRE real: gasto × serviços × lucro</t>
        </is>
      </c>
      <c r="C10" s="11" t="inlineStr">
        <is>
          <t>Os dois</t>
        </is>
      </c>
      <c r="D10" s="5" t="n">
        <v>500</v>
      </c>
      <c r="E10" s="5" t="n">
        <v>1000</v>
      </c>
      <c r="F10" s="11" t="inlineStr">
        <is>
          <t>Decidir manter/escalar</t>
        </is>
      </c>
    </row>
    <row r="12">
      <c r="A12" s="7" t="inlineStr">
        <is>
          <t>Checklist tracking</t>
        </is>
      </c>
    </row>
    <row r="13">
      <c r="A13" s="11" t="inlineStr">
        <is>
          <t>☐ Tag no WhatsApp: origem Meta ou Google</t>
        </is>
      </c>
    </row>
    <row r="14">
      <c r="A14" s="11" t="inlineStr">
        <is>
          <t>☐ Planilha diária: data | canal | serviço | valor | lucro</t>
        </is>
      </c>
    </row>
    <row r="15">
      <c r="A15" s="11" t="inlineStr">
        <is>
          <t>☐ Meta: campanha só WhatsApp (não só curtida)</t>
        </is>
      </c>
    </row>
    <row r="16">
      <c r="A16" s="11" t="inlineStr">
        <is>
          <t>☐ Google: localização presença / raio 15–20 km</t>
        </is>
      </c>
    </row>
    <row r="17">
      <c r="A17" s="11" t="inlineStr">
        <is>
          <t>☐ Usar criativos da pasta /criativos do site</t>
        </is>
      </c>
    </row>
    <row r="18">
      <c r="A18" s="11" t="inlineStr">
        <is>
          <t>☐ Site na bio + link Google Meu Negócio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18" customWidth="1" min="11" max="11"/>
  </cols>
  <sheetData>
    <row r="1">
      <c r="A1" s="30" t="inlineStr">
        <is>
          <t>PROJEÇÃO DE FATURAMENTO — 12 MESES (realista de mercado · Cosmópolis-SP)</t>
        </is>
      </c>
    </row>
    <row r="2">
      <c r="A2" s="10" t="inlineStr">
        <is>
          <t>Mercado local (~60–70 mil hab.). Despachante presencial + ads. Inclui base orgânica (indicação/Google/Instagram) + tráfego pago + sazonalidade + teto de capacidade.</t>
        </is>
      </c>
    </row>
    <row r="4">
      <c r="A4" s="7" t="inlineStr">
        <is>
          <t>RESUMO ANUAL</t>
        </is>
      </c>
    </row>
    <row r="5">
      <c r="A5" s="8" t="inlineStr">
        <is>
          <t>Cenário</t>
        </is>
      </c>
      <c r="B5" s="8" t="inlineStr">
        <is>
          <t>Invest. mídia 12m</t>
        </is>
      </c>
      <c r="C5" s="8" t="inlineStr">
        <is>
          <t>Serviços/ano</t>
        </is>
      </c>
      <c r="D5" s="8" t="inlineStr">
        <is>
          <t>Faturamento 12m</t>
        </is>
      </c>
      <c r="E5" s="8" t="inlineStr">
        <is>
          <t>Lucro bruto serviços</t>
        </is>
      </c>
      <c r="F5" s="8" t="inlineStr">
        <is>
          <t>Lucro após mídia</t>
        </is>
      </c>
      <c r="G5" s="8" t="inlineStr">
        <is>
          <t>ROI mídia 12m</t>
        </is>
      </c>
      <c r="H5" s="8" t="inlineStr">
        <is>
          <t>Média fat./mês</t>
        </is>
      </c>
      <c r="I5" s="8" t="inlineStr">
        <is>
          <t>Média serviços/mês</t>
        </is>
      </c>
    </row>
    <row r="6">
      <c r="A6" s="11" t="inlineStr">
        <is>
          <t>Conservador · R$ 500/mês ads</t>
        </is>
      </c>
      <c r="B6" s="5" t="n">
        <v>6000</v>
      </c>
      <c r="C6" s="26" t="n">
        <v>199.2450491234374</v>
      </c>
      <c r="D6" s="5" t="n">
        <v>84131.22199237146</v>
      </c>
      <c r="E6" s="5" t="n">
        <v>31521.56299657342</v>
      </c>
      <c r="F6" s="12" t="n">
        <v>25521.56299657342</v>
      </c>
      <c r="G6" s="13" t="n">
        <v>4.253593832762236</v>
      </c>
      <c r="H6" s="5" t="n">
        <v>7010.935166030955</v>
      </c>
      <c r="I6" s="26" t="n">
        <v>16.60375409361978</v>
      </c>
    </row>
    <row r="7">
      <c r="A7" s="25" t="inlineStr">
        <is>
          <t>Realista · R$ 500/mês ads</t>
        </is>
      </c>
      <c r="B7" s="5" t="n">
        <v>6000</v>
      </c>
      <c r="C7" s="26" t="n">
        <v>251.2872602580832</v>
      </c>
      <c r="D7" s="5" t="n">
        <v>106106.0456439757</v>
      </c>
      <c r="E7" s="5" t="n">
        <v>39754.90100913006</v>
      </c>
      <c r="F7" s="12" t="n">
        <v>33754.90100913006</v>
      </c>
      <c r="G7" s="13" t="n">
        <v>5.625816834855009</v>
      </c>
      <c r="H7" s="5" t="n">
        <v>8842.170470331304</v>
      </c>
      <c r="I7" s="26" t="n">
        <v>20.94060502150694</v>
      </c>
    </row>
    <row r="8">
      <c r="A8" s="25" t="inlineStr">
        <is>
          <t>Realista · R$ 1.000/mês ads</t>
        </is>
      </c>
      <c r="B8" s="5" t="n">
        <v>12000</v>
      </c>
      <c r="C8" s="26" t="n">
        <v>343.1644169928954</v>
      </c>
      <c r="D8" s="5" t="n">
        <v>144901.1750752501</v>
      </c>
      <c r="E8" s="5" t="n">
        <v>54290.32659036103</v>
      </c>
      <c r="F8" s="12" t="n">
        <v>42290.32659036103</v>
      </c>
      <c r="G8" s="13" t="n">
        <v>3.524193882530086</v>
      </c>
      <c r="H8" s="5" t="n">
        <v>12075.09792293751</v>
      </c>
      <c r="I8" s="26" t="n">
        <v>28.59703474940795</v>
      </c>
    </row>
    <row r="9">
      <c r="A9" s="11" t="inlineStr">
        <is>
          <t>Otimista · R$ 1.000/mês ads</t>
        </is>
      </c>
      <c r="B9" s="5" t="n">
        <v>12000</v>
      </c>
      <c r="C9" s="26" t="n">
        <v>417.4791942306359</v>
      </c>
      <c r="D9" s="5" t="n">
        <v>176280.589763886</v>
      </c>
      <c r="E9" s="5" t="n">
        <v>66047.29592325776</v>
      </c>
      <c r="F9" s="12" t="n">
        <v>54047.29592325776</v>
      </c>
      <c r="G9" s="13" t="n">
        <v>4.503941326938146</v>
      </c>
      <c r="H9" s="5" t="n">
        <v>14690.0491469905</v>
      </c>
      <c r="I9" s="26" t="n">
        <v>34.78993285255299</v>
      </c>
    </row>
    <row r="11">
      <c r="A11" s="7" t="inlineStr">
        <is>
          <t>LEITURA RECOMENDADA (REALISTA)</t>
        </is>
      </c>
    </row>
    <row r="12">
      <c r="A12" s="4" t="inlineStr">
        <is>
          <t>Com R$ 500/mês em ads: faturamento projetado ~R$ 106.106 em 12 meses (~R$ 8.842/mês) · ~251 serviços no ano.</t>
        </is>
      </c>
    </row>
    <row r="13">
      <c r="A13" s="4" t="inlineStr">
        <is>
          <t>Com R$ 1.000/mês em ads: faturamento projetado ~R$ 144.901 em 12 meses (~R$ 12.075/mês) · ~343 serviços no ano.</t>
        </is>
      </c>
    </row>
    <row r="14">
      <c r="A14" s="2" t="inlineStr">
        <is>
          <t>Faixa realista de mercado para despachante ativo em cidade desse porte, com ads + presença local: R$ 90 mil a R$ 180 mil/ano. Acima de R$ 200 mil exige ampliar raio (Artur Nogueira+) ou B2B (lojistas/transportadoras).</t>
        </is>
      </c>
    </row>
    <row r="16">
      <c r="A16" s="7" t="inlineStr">
        <is>
          <t>DETALHE MENSAL — REALISTA · R$ 500/mês</t>
        </is>
      </c>
    </row>
    <row r="17">
      <c r="A17" s="22" t="inlineStr">
        <is>
          <t>Mês</t>
        </is>
      </c>
      <c r="B17" s="22" t="inlineStr">
        <is>
          <t>Sazonalidade</t>
        </is>
      </c>
      <c r="C17" s="22" t="inlineStr">
        <is>
          <t>Serv. orgânicos</t>
        </is>
      </c>
      <c r="D17" s="22" t="inlineStr">
        <is>
          <t>Serv. pagos</t>
        </is>
      </c>
      <c r="E17" s="22" t="inlineStr">
        <is>
          <t>Serv. totais</t>
        </is>
      </c>
      <c r="F17" s="22" t="inlineStr">
        <is>
          <t>Faturamento</t>
        </is>
      </c>
      <c r="G17" s="22" t="inlineStr">
        <is>
          <t>Lucro serviços</t>
        </is>
      </c>
      <c r="H17" s="22" t="inlineStr">
        <is>
          <t>Invest. mídia</t>
        </is>
      </c>
      <c r="I17" s="22" t="inlineStr">
        <is>
          <t>Lucro após mídia</t>
        </is>
      </c>
      <c r="J17" s="22" t="inlineStr">
        <is>
          <t>Fat. acumulado</t>
        </is>
      </c>
      <c r="K17" s="22" t="inlineStr">
        <is>
          <t>Lucro acum. após mídia</t>
        </is>
      </c>
    </row>
    <row r="18">
      <c r="A18" s="11" t="inlineStr">
        <is>
          <t>M1</t>
        </is>
      </c>
      <c r="B18" s="23" t="n">
        <v>1.15</v>
      </c>
      <c r="C18" s="9" t="n">
        <v>11.5</v>
      </c>
      <c r="D18" s="9" t="n">
        <v>7.199896103896102</v>
      </c>
      <c r="E18" s="9" t="n">
        <v>18.6998961038961</v>
      </c>
      <c r="F18" s="5" t="n">
        <v>7896.031129870129</v>
      </c>
      <c r="G18" s="5" t="n">
        <v>2958.417063116883</v>
      </c>
      <c r="H18" s="5" t="n">
        <v>500</v>
      </c>
      <c r="I18" s="5" t="n">
        <v>2458.417063116883</v>
      </c>
      <c r="J18" s="5" t="n">
        <v>7896.031129870129</v>
      </c>
      <c r="K18" s="5" t="n">
        <v>2458.417063116883</v>
      </c>
    </row>
    <row r="19">
      <c r="A19" s="11" t="inlineStr">
        <is>
          <t>M2</t>
        </is>
      </c>
      <c r="B19" s="23" t="n">
        <v>1.2</v>
      </c>
      <c r="C19" s="9" t="n">
        <v>12.6</v>
      </c>
      <c r="D19" s="9" t="n">
        <v>8.53742621015348</v>
      </c>
      <c r="E19" s="9" t="n">
        <v>21.13742621015348</v>
      </c>
      <c r="F19" s="5" t="n">
        <v>8925.278217237306</v>
      </c>
      <c r="G19" s="5" t="n">
        <v>3344.046513577331</v>
      </c>
      <c r="H19" s="5" t="n">
        <v>500</v>
      </c>
      <c r="I19" s="5" t="n">
        <v>2844.046513577331</v>
      </c>
      <c r="J19" s="5" t="n">
        <v>16821.30934710744</v>
      </c>
      <c r="K19" s="5" t="n">
        <v>5302.463576694214</v>
      </c>
    </row>
    <row r="20">
      <c r="A20" s="11" t="inlineStr">
        <is>
          <t>M3</t>
        </is>
      </c>
      <c r="B20" s="23" t="n">
        <v>1.15</v>
      </c>
      <c r="C20" s="9" t="n">
        <v>12.65</v>
      </c>
      <c r="D20" s="9" t="n">
        <v>8.999870129870128</v>
      </c>
      <c r="E20" s="9" t="n">
        <v>21.64987012987013</v>
      </c>
      <c r="F20" s="5" t="n">
        <v>9141.65766233766</v>
      </c>
      <c r="G20" s="5" t="n">
        <v>3425.117703896104</v>
      </c>
      <c r="H20" s="5" t="n">
        <v>500</v>
      </c>
      <c r="I20" s="5" t="n">
        <v>2925.117703896104</v>
      </c>
      <c r="J20" s="5" t="n">
        <v>25962.9670094451</v>
      </c>
      <c r="K20" s="5" t="n">
        <v>8227.581280590317</v>
      </c>
    </row>
    <row r="21">
      <c r="A21" s="11" t="inlineStr">
        <is>
          <t>M4</t>
        </is>
      </c>
      <c r="B21" s="23" t="n">
        <v>1</v>
      </c>
      <c r="C21" s="9" t="n">
        <v>11.5</v>
      </c>
      <c r="D21" s="9" t="n">
        <v>8.237867395762134</v>
      </c>
      <c r="E21" s="9" t="n">
        <v>19.73786739576213</v>
      </c>
      <c r="F21" s="5" t="n">
        <v>8334.314507860561</v>
      </c>
      <c r="G21" s="5" t="n">
        <v>3122.629311346549</v>
      </c>
      <c r="H21" s="5" t="n">
        <v>500</v>
      </c>
      <c r="I21" s="5" t="n">
        <v>2622.629311346549</v>
      </c>
      <c r="J21" s="5" t="n">
        <v>34297.28151730566</v>
      </c>
      <c r="K21" s="5" t="n">
        <v>10850.21059193687</v>
      </c>
    </row>
    <row r="22">
      <c r="A22" s="11" t="inlineStr">
        <is>
          <t>M5</t>
        </is>
      </c>
      <c r="B22" s="23" t="n">
        <v>0.95</v>
      </c>
      <c r="C22" s="9" t="n">
        <v>11.4</v>
      </c>
      <c r="D22" s="9" t="n">
        <v>8.08116883116883</v>
      </c>
      <c r="E22" s="9" t="n">
        <v>19.48116883116883</v>
      </c>
      <c r="F22" s="5" t="n">
        <v>8225.923538961039</v>
      </c>
      <c r="G22" s="5" t="n">
        <v>3082.018314935065</v>
      </c>
      <c r="H22" s="5" t="n">
        <v>500</v>
      </c>
      <c r="I22" s="5" t="n">
        <v>2582.018314935065</v>
      </c>
      <c r="J22" s="5" t="n">
        <v>42523.2050562667</v>
      </c>
      <c r="K22" s="5" t="n">
        <v>13432.22890687193</v>
      </c>
    </row>
    <row r="23">
      <c r="A23" s="11" t="inlineStr">
        <is>
          <t>M6</t>
        </is>
      </c>
      <c r="B23" s="23" t="n">
        <v>0.9</v>
      </c>
      <c r="C23" s="9" t="n">
        <v>11.25</v>
      </c>
      <c r="D23" s="9" t="n">
        <v>7.825974025974025</v>
      </c>
      <c r="E23" s="9" t="n">
        <v>19.07597402597403</v>
      </c>
      <c r="F23" s="5" t="n">
        <v>8054.830032467533</v>
      </c>
      <c r="G23" s="5" t="n">
        <v>3017.914470779221</v>
      </c>
      <c r="H23" s="5" t="n">
        <v>500</v>
      </c>
      <c r="I23" s="5" t="n">
        <v>2517.914470779221</v>
      </c>
      <c r="J23" s="5" t="n">
        <v>50578.03508873424</v>
      </c>
      <c r="K23" s="5" t="n">
        <v>15950.14337765115</v>
      </c>
    </row>
    <row r="24">
      <c r="A24" s="11" t="inlineStr">
        <is>
          <t>M7</t>
        </is>
      </c>
      <c r="B24" s="23" t="n">
        <v>0.9</v>
      </c>
      <c r="C24" s="9" t="n">
        <v>11.7</v>
      </c>
      <c r="D24" s="9" t="n">
        <v>7.199896103896103</v>
      </c>
      <c r="E24" s="9" t="n">
        <v>18.8998961038961</v>
      </c>
      <c r="F24" s="5" t="n">
        <v>7980.48112987013</v>
      </c>
      <c r="G24" s="5" t="n">
        <v>2990.058063116883</v>
      </c>
      <c r="H24" s="5" t="n">
        <v>500</v>
      </c>
      <c r="I24" s="5" t="n">
        <v>2490.058063116883</v>
      </c>
      <c r="J24" s="5" t="n">
        <v>58558.51621860437</v>
      </c>
      <c r="K24" s="5" t="n">
        <v>18440.20144076803</v>
      </c>
    </row>
    <row r="25">
      <c r="A25" s="11" t="inlineStr">
        <is>
          <t>M8</t>
        </is>
      </c>
      <c r="B25" s="23" t="n">
        <v>0.95</v>
      </c>
      <c r="C25" s="9" t="n">
        <v>12.825</v>
      </c>
      <c r="D25" s="9" t="n">
        <v>7.772615112160567</v>
      </c>
      <c r="E25" s="9" t="n">
        <v>20.59761511216057</v>
      </c>
      <c r="F25" s="5" t="n">
        <v>8697.342981109799</v>
      </c>
      <c r="G25" s="5" t="n">
        <v>3258.645698819363</v>
      </c>
      <c r="H25" s="5" t="n">
        <v>500</v>
      </c>
      <c r="I25" s="5" t="n">
        <v>2758.645698819363</v>
      </c>
      <c r="J25" s="5" t="n">
        <v>67255.85919971416</v>
      </c>
      <c r="K25" s="5" t="n">
        <v>21198.8471395874</v>
      </c>
    </row>
    <row r="26">
      <c r="A26" s="11" t="inlineStr">
        <is>
          <t>M9</t>
        </is>
      </c>
      <c r="B26" s="23" t="n">
        <v>1.05</v>
      </c>
      <c r="C26" s="9" t="n">
        <v>14.7</v>
      </c>
      <c r="D26" s="9" t="n">
        <v>8.590785123966942</v>
      </c>
      <c r="E26" s="9" t="n">
        <v>23.29078512396694</v>
      </c>
      <c r="F26" s="5" t="n">
        <v>9834.534018595041</v>
      </c>
      <c r="G26" s="5" t="n">
        <v>3684.71866053719</v>
      </c>
      <c r="H26" s="5" t="n">
        <v>500</v>
      </c>
      <c r="I26" s="5" t="n">
        <v>3184.71866053719</v>
      </c>
      <c r="J26" s="5" t="n">
        <v>77090.39321830921</v>
      </c>
      <c r="K26" s="5" t="n">
        <v>24383.56580012459</v>
      </c>
    </row>
    <row r="27">
      <c r="A27" s="11" t="inlineStr">
        <is>
          <t>M10</t>
        </is>
      </c>
      <c r="B27" s="23" t="n">
        <v>1.1</v>
      </c>
      <c r="C27" s="9" t="n">
        <v>15.95</v>
      </c>
      <c r="D27" s="9" t="n">
        <v>8.999870129870132</v>
      </c>
      <c r="E27" s="9" t="n">
        <v>24.94987012987013</v>
      </c>
      <c r="F27" s="5" t="n">
        <v>10535.08266233767</v>
      </c>
      <c r="G27" s="5" t="n">
        <v>3947.194203896105</v>
      </c>
      <c r="H27" s="5" t="n">
        <v>500</v>
      </c>
      <c r="I27" s="5" t="n">
        <v>3447.194203896105</v>
      </c>
      <c r="J27" s="5" t="n">
        <v>87625.47588064687</v>
      </c>
      <c r="K27" s="5" t="n">
        <v>27830.76000402069</v>
      </c>
    </row>
    <row r="28">
      <c r="A28" s="11" t="inlineStr">
        <is>
          <t>M11</t>
        </is>
      </c>
      <c r="B28" s="23" t="n">
        <v>1.05</v>
      </c>
      <c r="C28" s="9" t="n">
        <v>15.75</v>
      </c>
      <c r="D28" s="9" t="n">
        <v>8.399878787878789</v>
      </c>
      <c r="E28" s="9" t="n">
        <v>24.14987878787879</v>
      </c>
      <c r="F28" s="5" t="n">
        <v>10197.28631818182</v>
      </c>
      <c r="G28" s="5" t="n">
        <v>3820.631573636364</v>
      </c>
      <c r="H28" s="5" t="n">
        <v>500</v>
      </c>
      <c r="I28" s="5" t="n">
        <v>3320.631573636364</v>
      </c>
      <c r="J28" s="5" t="n">
        <v>97822.7621988287</v>
      </c>
      <c r="K28" s="5" t="n">
        <v>31151.39157765706</v>
      </c>
    </row>
    <row r="29">
      <c r="A29" s="11" t="inlineStr">
        <is>
          <t>M12</t>
        </is>
      </c>
      <c r="B29" s="23" t="n">
        <v>0.85</v>
      </c>
      <c r="C29" s="9" t="n">
        <v>13.175</v>
      </c>
      <c r="D29" s="9" t="n">
        <v>6.442012303485988</v>
      </c>
      <c r="E29" s="9" t="n">
        <v>19.61701230348599</v>
      </c>
      <c r="F29" s="5" t="n">
        <v>8283.283445146957</v>
      </c>
      <c r="G29" s="5" t="n">
        <v>3103.509431473</v>
      </c>
      <c r="H29" s="5" t="n">
        <v>500</v>
      </c>
      <c r="I29" s="5" t="n">
        <v>2603.509431473</v>
      </c>
      <c r="J29" s="5" t="n">
        <v>106106.0456439757</v>
      </c>
      <c r="K29" s="5" t="n">
        <v>33754.90100913006</v>
      </c>
    </row>
    <row r="30">
      <c r="A30" s="25" t="inlineStr">
        <is>
          <t>TOTAL 12 MESES</t>
        </is>
      </c>
      <c r="E30" s="31" t="n">
        <v>251.2872602580832</v>
      </c>
      <c r="F30" s="32" t="n">
        <v>106106.0456439757</v>
      </c>
      <c r="G30" s="5" t="n">
        <v>39754.90100913006</v>
      </c>
      <c r="H30" s="5" t="n">
        <v>6000</v>
      </c>
      <c r="I30" s="12" t="n">
        <v>33754.90100913006</v>
      </c>
    </row>
    <row r="44">
      <c r="A44" s="7" t="inlineStr">
        <is>
          <t>DETALHE MENSAL — REALISTA · R$ 1.000/mês</t>
        </is>
      </c>
    </row>
    <row r="45">
      <c r="A45" s="22" t="inlineStr">
        <is>
          <t>Mês</t>
        </is>
      </c>
      <c r="B45" s="22" t="inlineStr">
        <is>
          <t>Sazonalidade</t>
        </is>
      </c>
      <c r="C45" s="22" t="inlineStr">
        <is>
          <t>Serv. orgânicos</t>
        </is>
      </c>
      <c r="D45" s="22" t="inlineStr">
        <is>
          <t>Serv. pagos</t>
        </is>
      </c>
      <c r="E45" s="22" t="inlineStr">
        <is>
          <t>Serv. totais</t>
        </is>
      </c>
      <c r="F45" s="22" t="inlineStr">
        <is>
          <t>Faturamento</t>
        </is>
      </c>
      <c r="G45" s="22" t="inlineStr">
        <is>
          <t>Lucro serviços</t>
        </is>
      </c>
      <c r="H45" s="22" t="inlineStr">
        <is>
          <t>Invest. mídia</t>
        </is>
      </c>
      <c r="I45" s="22" t="inlineStr">
        <is>
          <t>Lucro após mídia</t>
        </is>
      </c>
      <c r="J45" s="22" t="inlineStr">
        <is>
          <t>Fat. acumulado</t>
        </is>
      </c>
      <c r="K45" s="22" t="inlineStr">
        <is>
          <t>Lucro acum. após mídia</t>
        </is>
      </c>
    </row>
    <row r="46">
      <c r="A46" s="11" t="inlineStr">
        <is>
          <t>M1</t>
        </is>
      </c>
      <c r="B46" s="23" t="n">
        <v>1.15</v>
      </c>
      <c r="C46" s="9" t="n">
        <v>11.5</v>
      </c>
      <c r="D46" s="9" t="n">
        <v>14.07002597402597</v>
      </c>
      <c r="E46" s="9" t="n">
        <v>25.57002597402597</v>
      </c>
      <c r="F46" s="5" t="n">
        <v>10796.94346753247</v>
      </c>
      <c r="G46" s="5" t="n">
        <v>4045.30595922078</v>
      </c>
      <c r="H46" s="5" t="n">
        <v>1000</v>
      </c>
      <c r="I46" s="5" t="n">
        <v>3045.30595922078</v>
      </c>
      <c r="J46" s="5" t="n">
        <v>10796.94346753247</v>
      </c>
      <c r="K46" s="5" t="n">
        <v>3045.30595922078</v>
      </c>
    </row>
    <row r="47">
      <c r="A47" s="11" t="inlineStr">
        <is>
          <t>M2</t>
        </is>
      </c>
      <c r="B47" s="23" t="n">
        <v>1.2</v>
      </c>
      <c r="C47" s="9" t="n">
        <v>12.6</v>
      </c>
      <c r="D47" s="9" t="n">
        <v>16.68382526564344</v>
      </c>
      <c r="E47" s="9" t="n">
        <v>29.28382526564344</v>
      </c>
      <c r="F47" s="5" t="n">
        <v>12365.09521841794</v>
      </c>
      <c r="G47" s="5" t="n">
        <v>4632.847576151122</v>
      </c>
      <c r="H47" s="5" t="n">
        <v>1000</v>
      </c>
      <c r="I47" s="5" t="n">
        <v>3632.847576151122</v>
      </c>
      <c r="J47" s="5" t="n">
        <v>23162.03868595041</v>
      </c>
      <c r="K47" s="5" t="n">
        <v>6678.153535371901</v>
      </c>
    </row>
    <row r="48">
      <c r="A48" s="11" t="inlineStr">
        <is>
          <t>M3</t>
        </is>
      </c>
      <c r="B48" s="23" t="n">
        <v>1.15</v>
      </c>
      <c r="C48" s="9" t="n">
        <v>12.65</v>
      </c>
      <c r="D48" s="9" t="n">
        <v>17.58753246753247</v>
      </c>
      <c r="E48" s="9" t="n">
        <v>30.23753246753246</v>
      </c>
      <c r="F48" s="5" t="n">
        <v>12767.79808441558</v>
      </c>
      <c r="G48" s="5" t="n">
        <v>4783.728824025974</v>
      </c>
      <c r="H48" s="5" t="n">
        <v>1000</v>
      </c>
      <c r="I48" s="5" t="n">
        <v>3783.728824025974</v>
      </c>
      <c r="J48" s="5" t="n">
        <v>35929.836770366</v>
      </c>
      <c r="K48" s="5" t="n">
        <v>10461.88235939787</v>
      </c>
    </row>
    <row r="49">
      <c r="A49" s="11" t="inlineStr">
        <is>
          <t>M4</t>
        </is>
      </c>
      <c r="B49" s="23" t="n">
        <v>1</v>
      </c>
      <c r="C49" s="9" t="n">
        <v>11.5</v>
      </c>
      <c r="D49" s="9" t="n">
        <v>16.09842788790157</v>
      </c>
      <c r="E49" s="9" t="n">
        <v>27.59842788790157</v>
      </c>
      <c r="F49" s="5" t="n">
        <v>11653.43617566644</v>
      </c>
      <c r="G49" s="5" t="n">
        <v>4366.209284005468</v>
      </c>
      <c r="H49" s="5" t="n">
        <v>1000</v>
      </c>
      <c r="I49" s="5" t="n">
        <v>3366.209284005468</v>
      </c>
      <c r="J49" s="5" t="n">
        <v>47583.27294603243</v>
      </c>
      <c r="K49" s="5" t="n">
        <v>13828.09164340334</v>
      </c>
    </row>
    <row r="50">
      <c r="A50" s="11" t="inlineStr">
        <is>
          <t>M5</t>
        </is>
      </c>
      <c r="B50" s="23" t="n">
        <v>0.95</v>
      </c>
      <c r="C50" s="9" t="n">
        <v>11.4</v>
      </c>
      <c r="D50" s="9" t="n">
        <v>15.79220779220779</v>
      </c>
      <c r="E50" s="9" t="n">
        <v>27.19220779220779</v>
      </c>
      <c r="F50" s="5" t="n">
        <v>11481.90974025974</v>
      </c>
      <c r="G50" s="5" t="n">
        <v>4301.943233766234</v>
      </c>
      <c r="H50" s="5" t="n">
        <v>1000</v>
      </c>
      <c r="I50" s="5" t="n">
        <v>3301.943233766234</v>
      </c>
      <c r="J50" s="5" t="n">
        <v>59065.18268629217</v>
      </c>
      <c r="K50" s="5" t="n">
        <v>17130.03487716958</v>
      </c>
    </row>
    <row r="51">
      <c r="A51" s="11" t="inlineStr">
        <is>
          <t>M6</t>
        </is>
      </c>
      <c r="B51" s="23" t="n">
        <v>0.9</v>
      </c>
      <c r="C51" s="9" t="n">
        <v>11.25</v>
      </c>
      <c r="D51" s="9" t="n">
        <v>15.29350649350649</v>
      </c>
      <c r="E51" s="9" t="n">
        <v>26.54350649350649</v>
      </c>
      <c r="F51" s="5" t="n">
        <v>11207.99561688312</v>
      </c>
      <c r="G51" s="5" t="n">
        <v>4199.315444805195</v>
      </c>
      <c r="H51" s="5" t="n">
        <v>1000</v>
      </c>
      <c r="I51" s="5" t="n">
        <v>3199.315444805195</v>
      </c>
      <c r="J51" s="5" t="n">
        <v>70273.17830317529</v>
      </c>
      <c r="K51" s="5" t="n">
        <v>20329.35032197477</v>
      </c>
    </row>
    <row r="52">
      <c r="A52" s="11" t="inlineStr">
        <is>
          <t>M7</t>
        </is>
      </c>
      <c r="B52" s="23" t="n">
        <v>0.9</v>
      </c>
      <c r="C52" s="9" t="n">
        <v>11.7</v>
      </c>
      <c r="D52" s="9" t="n">
        <v>14.07002597402597</v>
      </c>
      <c r="E52" s="9" t="n">
        <v>25.77002597402598</v>
      </c>
      <c r="F52" s="5" t="n">
        <v>10881.39346753247</v>
      </c>
      <c r="G52" s="5" t="n">
        <v>4076.94695922078</v>
      </c>
      <c r="H52" s="5" t="n">
        <v>1000</v>
      </c>
      <c r="I52" s="5" t="n">
        <v>3076.94695922078</v>
      </c>
      <c r="J52" s="5" t="n">
        <v>81154.57177070776</v>
      </c>
      <c r="K52" s="5" t="n">
        <v>23406.29728119555</v>
      </c>
    </row>
    <row r="53">
      <c r="A53" s="11" t="inlineStr">
        <is>
          <t>M8</t>
        </is>
      </c>
      <c r="B53" s="23" t="n">
        <v>0.95</v>
      </c>
      <c r="C53" s="9" t="n">
        <v>12.825</v>
      </c>
      <c r="D53" s="9" t="n">
        <v>15.18923258559622</v>
      </c>
      <c r="E53" s="9" t="n">
        <v>28.01423258559622</v>
      </c>
      <c r="F53" s="5" t="n">
        <v>11829.009709268</v>
      </c>
      <c r="G53" s="5" t="n">
        <v>4431.99166620425</v>
      </c>
      <c r="H53" s="5" t="n">
        <v>1000</v>
      </c>
      <c r="I53" s="5" t="n">
        <v>3431.99166620425</v>
      </c>
      <c r="J53" s="5" t="n">
        <v>92983.58147997576</v>
      </c>
      <c r="K53" s="5" t="n">
        <v>26838.2889473998</v>
      </c>
    </row>
    <row r="54">
      <c r="A54" s="11" t="inlineStr">
        <is>
          <t>M9</t>
        </is>
      </c>
      <c r="B54" s="23" t="n">
        <v>1.05</v>
      </c>
      <c r="C54" s="9" t="n">
        <v>14.7</v>
      </c>
      <c r="D54" s="9" t="n">
        <v>16.78809917355372</v>
      </c>
      <c r="E54" s="9" t="n">
        <v>31.48809917355372</v>
      </c>
      <c r="F54" s="5" t="n">
        <v>13295.84987603306</v>
      </c>
      <c r="G54" s="5" t="n">
        <v>4981.574729752067</v>
      </c>
      <c r="H54" s="5" t="n">
        <v>1000</v>
      </c>
      <c r="I54" s="5" t="n">
        <v>3981.574729752067</v>
      </c>
      <c r="J54" s="5" t="n">
        <v>106279.4313560088</v>
      </c>
      <c r="K54" s="5" t="n">
        <v>30819.86367715186</v>
      </c>
    </row>
    <row r="55">
      <c r="A55" s="11" t="inlineStr">
        <is>
          <t>M10</t>
        </is>
      </c>
      <c r="B55" s="23" t="n">
        <v>1.1</v>
      </c>
      <c r="C55" s="9" t="n">
        <v>15.95</v>
      </c>
      <c r="D55" s="9" t="n">
        <v>17.58753246753247</v>
      </c>
      <c r="E55" s="9" t="n">
        <v>33.53753246753247</v>
      </c>
      <c r="F55" s="5" t="n">
        <v>14161.22308441559</v>
      </c>
      <c r="G55" s="5" t="n">
        <v>5305.805324025975</v>
      </c>
      <c r="H55" s="5" t="n">
        <v>1000</v>
      </c>
      <c r="I55" s="5" t="n">
        <v>4305.805324025975</v>
      </c>
      <c r="J55" s="5" t="n">
        <v>120440.6544404244</v>
      </c>
      <c r="K55" s="5" t="n">
        <v>35125.66900117784</v>
      </c>
    </row>
    <row r="56">
      <c r="A56" s="11" t="inlineStr">
        <is>
          <t>M11</t>
        </is>
      </c>
      <c r="B56" s="23" t="n">
        <v>1.05</v>
      </c>
      <c r="C56" s="9" t="n">
        <v>15.75</v>
      </c>
      <c r="D56" s="9" t="n">
        <v>16.41503030303031</v>
      </c>
      <c r="E56" s="9" t="n">
        <v>32.16503030303031</v>
      </c>
      <c r="F56" s="5" t="n">
        <v>13581.68404545455</v>
      </c>
      <c r="G56" s="5" t="n">
        <v>5088.66861909091</v>
      </c>
      <c r="H56" s="5" t="n">
        <v>1000</v>
      </c>
      <c r="I56" s="5" t="n">
        <v>4088.66861909091</v>
      </c>
      <c r="J56" s="5" t="n">
        <v>134022.338485879</v>
      </c>
      <c r="K56" s="5" t="n">
        <v>39214.33762026875</v>
      </c>
    </row>
    <row r="57">
      <c r="A57" s="11" t="inlineStr">
        <is>
          <t>M12</t>
        </is>
      </c>
      <c r="B57" s="23" t="n">
        <v>0.85</v>
      </c>
      <c r="C57" s="9" t="n">
        <v>13.175</v>
      </c>
      <c r="D57" s="9" t="n">
        <v>12.58897060833903</v>
      </c>
      <c r="E57" s="9" t="n">
        <v>25.76397060833903</v>
      </c>
      <c r="F57" s="5" t="n">
        <v>10878.83658937115</v>
      </c>
      <c r="G57" s="5" t="n">
        <v>4075.988970092276</v>
      </c>
      <c r="H57" s="5" t="n">
        <v>1000</v>
      </c>
      <c r="I57" s="5" t="n">
        <v>3075.988970092276</v>
      </c>
      <c r="J57" s="5" t="n">
        <v>144901.1750752501</v>
      </c>
      <c r="K57" s="5" t="n">
        <v>42290.32659036103</v>
      </c>
    </row>
    <row r="58">
      <c r="A58" s="25" t="inlineStr">
        <is>
          <t>TOTAL 12 MESES</t>
        </is>
      </c>
      <c r="E58" s="31" t="n">
        <v>343.1644169928954</v>
      </c>
      <c r="F58" s="32" t="n">
        <v>144901.1750752501</v>
      </c>
      <c r="G58" s="5" t="n">
        <v>54290.32659036103</v>
      </c>
      <c r="H58" s="5" t="n">
        <v>12000</v>
      </c>
      <c r="I58" s="12" t="n">
        <v>42290.32659036103</v>
      </c>
    </row>
    <row r="72">
      <c r="A72" s="7" t="inlineStr">
        <is>
          <t>PREMISSAS DE MERCADO (por que esses números)</t>
        </is>
      </c>
    </row>
    <row r="73">
      <c r="A73" s="11" t="inlineStr">
        <is>
          <t>• Cosmópolis tem população limitada: demanda de despachante não escala como capital — por isso há teto de serviços/mês.</t>
        </is>
      </c>
    </row>
    <row r="74">
      <c r="A74" s="11" t="inlineStr">
        <is>
          <t>• Ticket médio ponderado usado: R$ 422.25 | Lucro bruto médio: R$ 158.21 (mix da aba Premissas).</t>
        </is>
      </c>
    </row>
    <row r="75">
      <c r="A75" s="11" t="inlineStr">
        <is>
          <t>• Orgânico cresce com Google Meu Negócio, Instagram, indicações e lojistas — não só com ads.</t>
        </is>
      </c>
    </row>
    <row r="76">
      <c r="A76" s="11" t="inlineStr">
        <is>
          <t>• Sazonalidade: Jan–Mar mais forte (licenciamento); Jun–Jul mais fraco; Set–Nov recupera (transferências); Dez cai.</t>
        </is>
      </c>
    </row>
    <row r="77">
      <c r="A77" s="11" t="inlineStr">
        <is>
          <t>• Mês 1–2: CPA pior (aprendizado). Depois estabiliza se houver tracking no WhatsApp.</t>
        </is>
      </c>
    </row>
    <row r="78">
      <c r="A78" s="11" t="inlineStr">
        <is>
          <t>• R$ 1.000/mês não dobra automaticamente o faturamento vs R$ 500 — há saturação de público no raio 15–20 km.</t>
        </is>
      </c>
    </row>
    <row r="79">
      <c r="A79" s="11" t="inlineStr">
        <is>
          <t>• Upside real (otimista): fechar parcerias com lojistas/transportadoras (B2B) + ampliar raio para Artur Nogueira.</t>
        </is>
      </c>
    </row>
    <row r="80">
      <c r="A80" s="11" t="inlineStr">
        <is>
          <t>• Risco: não atender rápido no WhatsApp, criativo fraco ou Google Meu Negócio incompleto derruba a conversão pela metade.</t>
        </is>
      </c>
    </row>
  </sheetData>
  <mergeCells count="13">
    <mergeCell ref="A2:L2"/>
    <mergeCell ref="A74:K74"/>
    <mergeCell ref="A78:K78"/>
    <mergeCell ref="A77:K77"/>
    <mergeCell ref="A13:I13"/>
    <mergeCell ref="A14:I14"/>
    <mergeCell ref="A1:L1"/>
    <mergeCell ref="A73:K73"/>
    <mergeCell ref="A76:K76"/>
    <mergeCell ref="A12:I12"/>
    <mergeCell ref="A80:K80"/>
    <mergeCell ref="A75:K75"/>
    <mergeCell ref="A79:K7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2026-07-25T17:03:06Z</dcterms:created>
  <dcterms:modified xmlns:dcterms="http://purl.org/dc/terms/" xmlns:xsi="http://www.w3.org/2001/XMLSchema-instance" xsi:type="dcterms:W3CDTF">2026-07-25T17:03:06Z</dcterms:modified>
</cp:coreProperties>
</file>