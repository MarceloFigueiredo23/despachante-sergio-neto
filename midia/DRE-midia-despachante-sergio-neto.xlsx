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sumo" sheetId="1" state="visible" r:id="rId1"/>
    <sheet xmlns:r="http://schemas.openxmlformats.org/officeDocument/2006/relationships" name="01_Premissas_Custos" sheetId="2" state="visible" r:id="rId2"/>
    <sheet xmlns:r="http://schemas.openxmlformats.org/officeDocument/2006/relationships" name="02_Canais_Targeting" sheetId="3" state="visible" r:id="rId3"/>
    <sheet xmlns:r="http://schemas.openxmlformats.org/officeDocument/2006/relationships" name="03_DRE_R$500" sheetId="4" state="visible" r:id="rId4"/>
    <sheet xmlns:r="http://schemas.openxmlformats.org/officeDocument/2006/relationships" name="04_DRE_R$1000" sheetId="5" state="visible" r:id="rId5"/>
    <sheet xmlns:r="http://schemas.openxmlformats.org/officeDocument/2006/relationships" name="05_BreakEven_ROI" sheetId="6" state="visible" r:id="rId6"/>
    <sheet xmlns:r="http://schemas.openxmlformats.org/officeDocument/2006/relationships" name="06_Plano_30_di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"/>
    <numFmt numFmtId="166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1A3358"/>
      <sz val="16"/>
    </font>
    <font>
      <name val="Arial"/>
      <i val="1"/>
      <color rgb="005A6D86"/>
      <sz val="10"/>
    </font>
    <font>
      <name val="Arial"/>
      <color rgb="001A3358"/>
      <sz val="11"/>
    </font>
    <font>
      <name val="Arial"/>
      <sz val="11"/>
    </font>
    <font>
      <name val="Arial"/>
      <sz val="10"/>
    </font>
    <font>
      <name val="Arial"/>
      <b val="1"/>
      <color rgb="001A3358"/>
      <sz val="11"/>
    </font>
    <font>
      <name val="Arial"/>
      <b val="1"/>
      <color rgb="001A3358"/>
      <sz val="12"/>
    </font>
    <font>
      <name val="Arial"/>
      <b val="1"/>
      <color rgb="00FFFFFF"/>
      <sz val="11"/>
    </font>
    <font>
      <name val="Arial"/>
      <b val="1"/>
      <color rgb="001A7F37"/>
      <sz val="10"/>
    </font>
    <font>
      <name val="Arial"/>
      <i val="1"/>
      <color rgb="005A6D86"/>
      <sz val="9"/>
    </font>
    <font>
      <name val="Arial"/>
      <b val="1"/>
      <color rgb="001A3358"/>
      <sz val="13"/>
    </font>
    <font>
      <name val="Arial"/>
      <b val="1"/>
      <sz val="11"/>
    </font>
    <font>
      <name val="Arial"/>
      <b val="1"/>
      <color rgb="001A7F37"/>
      <sz val="12"/>
    </font>
    <font>
      <name val="Arial"/>
      <color rgb="005A6D86"/>
      <sz val="10"/>
    </font>
    <font>
      <name val="Arial"/>
      <b val="1"/>
      <sz val="10"/>
    </font>
    <font>
      <name val="Arial"/>
      <sz val="9"/>
    </font>
    <font>
      <name val="Arial"/>
      <b val="1"/>
      <color rgb="00B42318"/>
      <sz val="10"/>
    </font>
  </fonts>
  <fills count="4">
    <fill>
      <patternFill/>
    </fill>
    <fill>
      <patternFill patternType="gray125"/>
    </fill>
    <fill>
      <patternFill patternType="solid">
        <fgColor rgb="001A3358"/>
      </patternFill>
    </fill>
    <fill>
      <patternFill patternType="solid">
        <fgColor rgb="00C4840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165" fontId="5" fillId="0" borderId="0" pivotButton="0" quotePrefix="0" xfId="0"/>
    <xf numFmtId="164" fontId="9" fillId="0" borderId="0" pivotButton="0" quotePrefix="0" xfId="0"/>
    <xf numFmtId="166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12" fillId="0" borderId="0" pivotButton="0" quotePrefix="0" xfId="0"/>
    <xf numFmtId="164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center" wrapText="1"/>
    </xf>
    <xf numFmtId="2" fontId="5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0" fillId="0" borderId="0" pivotButton="0" quotePrefix="0" xfId="0"/>
    <xf numFmtId="0" fontId="16" fillId="0" borderId="0" pivotButton="0" quotePrefix="0" xfId="0"/>
    <xf numFmtId="2" fontId="0" fillId="0" borderId="0" pivotButton="0" quotePrefix="0" xfId="0"/>
    <xf numFmtId="164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após mídia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'03_DRE_R$500'!F27</f>
            </strRef>
          </tx>
          <spPr>
            <a:ln xmlns:a="http://schemas.openxmlformats.org/drawingml/2006/main">
              <a:prstDash val="solid"/>
            </a:ln>
          </spPr>
          <cat>
            <numRef>
              <f>'03_DRE_R$500'!$A$28:$A$33</f>
            </numRef>
          </cat>
          <val>
            <numRef>
              <f>'03_DRE_R$500'!$F$28:$F$33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'03_DRE_R$500'!H27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'03_DRE_R$500'!$A$28:$A$33</f>
            </numRef>
          </cat>
          <val>
            <numRef>
              <f>'03_DRE_R$500'!$H$28:$H$33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após mídia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'04_DRE_R$1000'!F27</f>
            </strRef>
          </tx>
          <spPr>
            <a:ln xmlns:a="http://schemas.openxmlformats.org/drawingml/2006/main">
              <a:prstDash val="solid"/>
            </a:ln>
          </spPr>
          <cat>
            <numRef>
              <f>'04_DRE_R$1000'!$A$28:$A$33</f>
            </numRef>
          </cat>
          <val>
            <numRef>
              <f>'04_DRE_R$1000'!$F$28:$F$33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'04_DRE_R$1000'!H27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'04_DRE_R$1000'!$A$28:$A$33</f>
            </numRef>
          </cat>
          <val>
            <numRef>
              <f>'04_DRE_R$1000'!$H$28:$H$33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18" customWidth="1" min="4" max="4"/>
  </cols>
  <sheetData>
    <row r="1">
      <c r="A1" s="1" t="inlineStr">
        <is>
          <t>DRE PROJETADO DE MÍDIA — Despachante Sérgio Neto (Biju)</t>
        </is>
      </c>
    </row>
    <row r="2">
      <c r="A2" s="2" t="inlineStr">
        <is>
          <t>Cosmópolis-SP · Campo do Kigol · Projeção para investimento em tráfego pago</t>
        </is>
      </c>
    </row>
    <row r="4">
      <c r="A4" s="3" t="inlineStr"/>
      <c r="B4" s="4" t="inlineStr"/>
    </row>
    <row r="5">
      <c r="A5" s="3" t="inlineStr">
        <is>
          <t>Lucro bruto médio ponderado (mix tráfego)</t>
        </is>
      </c>
      <c r="B5" s="5" t="n">
        <v>158.205</v>
      </c>
    </row>
    <row r="6">
      <c r="A6" s="3" t="inlineStr">
        <is>
          <t>Ticket médio ponderado (valor cliente)</t>
        </is>
      </c>
      <c r="B6" s="5" t="n">
        <v>422.25</v>
      </c>
    </row>
    <row r="7">
      <c r="A7" s="3" t="inlineStr"/>
      <c r="B7" s="4" t="inlineStr"/>
    </row>
    <row r="8">
      <c r="A8" s="6" t="inlineStr">
        <is>
          <t>VEREDICTO RÁPIDO</t>
        </is>
      </c>
      <c r="B8" s="4" t="inlineStr"/>
    </row>
    <row r="9">
      <c r="A9" s="6" t="inlineStr">
        <is>
          <t>Melhor canal principal</t>
        </is>
      </c>
      <c r="B9" s="4" t="inlineStr">
        <is>
          <t>Meta Ads (WhatsApp) — volume local</t>
        </is>
      </c>
    </row>
    <row r="10">
      <c r="A10" s="6" t="inlineStr">
        <is>
          <t>Melhor canal de intenção</t>
        </is>
      </c>
      <c r="B10" s="4" t="inlineStr">
        <is>
          <t>Google Search/Maps — quem já busca despachante</t>
        </is>
      </c>
    </row>
    <row r="11">
      <c r="A11" s="6" t="inlineStr">
        <is>
          <t>Mix sugerido em R$ 500</t>
        </is>
      </c>
      <c r="B11" s="4" t="inlineStr">
        <is>
          <t>70% Meta · 30% Google</t>
        </is>
      </c>
    </row>
    <row r="12">
      <c r="A12" s="6" t="inlineStr">
        <is>
          <t>Mix sugerido em R$ 1.000</t>
        </is>
      </c>
      <c r="B12" s="4" t="inlineStr">
        <is>
          <t>60% Meta · 40% Google</t>
        </is>
      </c>
    </row>
    <row r="13">
      <c r="A13" s="6" t="inlineStr">
        <is>
          <t>Raio de targeting</t>
        </is>
      </c>
      <c r="B13" s="4" t="inlineStr">
        <is>
          <t>15–20 km (Cosmópolis + Artur Nogueira)</t>
        </is>
      </c>
    </row>
    <row r="14">
      <c r="A14" s="6" t="inlineStr">
        <is>
          <t>Faixa etária</t>
        </is>
      </c>
      <c r="B14" s="4" t="inlineStr">
        <is>
          <t>25–54 anos</t>
        </is>
      </c>
    </row>
    <row r="15">
      <c r="A15" s="6" t="inlineStr">
        <is>
          <t>LT break-even (cenário base)</t>
        </is>
      </c>
      <c r="B15" s="4" t="inlineStr">
        <is>
          <t>Mês 1 — se bater CPA base</t>
        </is>
      </c>
    </row>
    <row r="16">
      <c r="A16" s="6" t="inlineStr">
        <is>
          <t>LT início de ROI consistente</t>
        </is>
      </c>
      <c r="B16" s="4" t="inlineStr">
        <is>
          <t>Mês 2–3 (após otimização)</t>
        </is>
      </c>
    </row>
    <row r="18">
      <c r="A18" s="7" t="inlineStr">
        <is>
          <t>COMPARAÇÃO RÁPIDA — CENÁRIO BASE</t>
        </is>
      </c>
    </row>
    <row r="19">
      <c r="A19" s="8" t="inlineStr">
        <is>
          <t>Métrica</t>
        </is>
      </c>
      <c r="B19" s="8" t="inlineStr">
        <is>
          <t>R$ 500/mês</t>
        </is>
      </c>
      <c r="C19" s="8" t="inlineStr">
        <is>
          <t>R$ 1.000/mês</t>
        </is>
      </c>
    </row>
    <row r="20">
      <c r="A20" s="9" t="inlineStr">
        <is>
          <t>Investimento mídia</t>
        </is>
      </c>
      <c r="B20" s="5" t="n">
        <v>500</v>
      </c>
      <c r="C20" s="5" t="n">
        <v>1000</v>
      </c>
    </row>
    <row r="21">
      <c r="A21" s="9" t="inlineStr">
        <is>
          <t>Vendas estimadas / mês</t>
        </is>
      </c>
      <c r="B21" s="10" t="n">
        <v>8.506493506493506</v>
      </c>
      <c r="C21" s="10" t="n">
        <v>16.62337662337662</v>
      </c>
    </row>
    <row r="22">
      <c r="A22" s="9" t="inlineStr">
        <is>
          <t>Vendas p/ break-even</t>
        </is>
      </c>
      <c r="B22" s="10" t="n">
        <v>3.160456369899813</v>
      </c>
      <c r="C22" s="10" t="n">
        <v>6.320912739799627</v>
      </c>
    </row>
    <row r="23">
      <c r="A23" s="9" t="inlineStr">
        <is>
          <t>Receita bruta estimada</t>
        </is>
      </c>
      <c r="B23" s="5" t="n">
        <v>3591.866883116883</v>
      </c>
      <c r="C23" s="5" t="n">
        <v>7019.220779220778</v>
      </c>
    </row>
    <row r="24">
      <c r="A24" s="9" t="inlineStr">
        <is>
          <t>Lucro bruto serviços</t>
        </is>
      </c>
      <c r="B24" s="5" t="n">
        <v>1345.769805194805</v>
      </c>
      <c r="C24" s="5" t="n">
        <v>2629.901298701299</v>
      </c>
    </row>
    <row r="25">
      <c r="A25" s="9" t="inlineStr">
        <is>
          <t>Lucro após mídia</t>
        </is>
      </c>
      <c r="B25" s="11" t="n">
        <v>845.7698051948053</v>
      </c>
      <c r="C25" s="11" t="n">
        <v>1629.901298701299</v>
      </c>
    </row>
    <row r="26">
      <c r="A26" s="9" t="inlineStr">
        <is>
          <t>ROI sobre mídia</t>
        </is>
      </c>
      <c r="B26" s="12" t="n">
        <v>1.691539610389611</v>
      </c>
      <c r="C26" s="12" t="n">
        <v>1.629901298701299</v>
      </c>
    </row>
    <row r="27">
      <c r="A27" s="9" t="inlineStr">
        <is>
          <t>ROAS (lucro/invest.)</t>
        </is>
      </c>
      <c r="B27" s="12" t="n">
        <v>2.691539610389611</v>
      </c>
      <c r="C27" s="12" t="n">
        <v>2.629901298701299</v>
      </c>
    </row>
    <row r="29">
      <c r="A29" s="13" t="inlineStr">
        <is>
          <t>Obs.: projeções usam CPA médio local (cidade pequena). Validar nas 2 primeiras semanas e ajustar.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2" customWidth="1" min="7" max="7"/>
    <col width="16" customWidth="1" min="8" max="8"/>
  </cols>
  <sheetData>
    <row r="1">
      <c r="A1" s="14" t="inlineStr">
        <is>
          <t>Tabela de custos e lucro (fonte: planilha do negócio)</t>
        </is>
      </c>
    </row>
    <row r="3">
      <c r="A3" s="15" t="inlineStr">
        <is>
          <t>Serviço</t>
        </is>
      </c>
      <c r="B3" s="15" t="inlineStr">
        <is>
          <t>Custo Processo</t>
        </is>
      </c>
      <c r="C3" s="15" t="inlineStr">
        <is>
          <t>Custo Operacional</t>
        </is>
      </c>
      <c r="D3" s="15" t="inlineStr">
        <is>
          <t>Custo Total</t>
        </is>
      </c>
      <c r="E3" s="15" t="inlineStr">
        <is>
          <t>Valor Cliente</t>
        </is>
      </c>
      <c r="F3" s="15" t="inlineStr">
        <is>
          <t>Lucro Bruto</t>
        </is>
      </c>
      <c r="G3" s="15" t="inlineStr">
        <is>
          <t>Mix tráfego</t>
        </is>
      </c>
      <c r="H3" s="15" t="inlineStr">
        <is>
          <t>Lucro ponderado</t>
        </is>
      </c>
    </row>
    <row r="4">
      <c r="A4" s="16" t="inlineStr">
        <is>
          <t>Transferência</t>
        </is>
      </c>
      <c r="B4" s="17" t="n">
        <v>296</v>
      </c>
      <c r="C4" s="17" t="n">
        <v>4.7</v>
      </c>
      <c r="D4" s="17" t="n">
        <v>300.7</v>
      </c>
      <c r="E4" s="17" t="n">
        <v>510</v>
      </c>
      <c r="F4" s="17" t="n">
        <v>209.3</v>
      </c>
      <c r="G4" s="18" t="n">
        <v>0.35</v>
      </c>
      <c r="H4" s="17" t="n">
        <v>73.255</v>
      </c>
    </row>
    <row r="5">
      <c r="A5" s="16" t="inlineStr">
        <is>
          <t>Licenciamento</t>
        </is>
      </c>
      <c r="B5" s="17" t="n">
        <v>175</v>
      </c>
      <c r="C5" s="17" t="n">
        <v>4.7</v>
      </c>
      <c r="D5" s="17" t="n">
        <v>179.7</v>
      </c>
      <c r="E5" s="17" t="n">
        <v>290</v>
      </c>
      <c r="F5" s="17" t="n">
        <v>110.3</v>
      </c>
      <c r="G5" s="18" t="n">
        <v>0.25</v>
      </c>
      <c r="H5" s="17" t="n">
        <v>27.575</v>
      </c>
    </row>
    <row r="6">
      <c r="A6" s="16" t="inlineStr">
        <is>
          <t>Licenciamento + Transferência</t>
        </is>
      </c>
      <c r="B6" s="17" t="n">
        <v>471</v>
      </c>
      <c r="C6" s="17" t="n">
        <v>4.7</v>
      </c>
      <c r="D6" s="17" t="n">
        <v>475.7</v>
      </c>
      <c r="E6" s="17" t="n">
        <v>690</v>
      </c>
      <c r="F6" s="17" t="n">
        <v>214.3</v>
      </c>
      <c r="G6" s="18" t="n">
        <v>0.2</v>
      </c>
      <c r="H6" s="17" t="n">
        <v>42.86000000000001</v>
      </c>
    </row>
    <row r="7">
      <c r="A7" s="16" t="inlineStr">
        <is>
          <t>Vistoria</t>
        </is>
      </c>
      <c r="B7" s="17" t="n">
        <v>90</v>
      </c>
      <c r="C7" s="17" t="n">
        <v>0</v>
      </c>
      <c r="D7" s="17" t="n">
        <v>90</v>
      </c>
      <c r="E7" s="17" t="n">
        <v>130</v>
      </c>
      <c r="F7" s="17" t="n">
        <v>40</v>
      </c>
      <c r="G7" s="18" t="n">
        <v>0.05</v>
      </c>
      <c r="H7" s="17" t="n">
        <v>2</v>
      </c>
    </row>
    <row r="8">
      <c r="A8" s="16" t="inlineStr">
        <is>
          <t>Placa Moto</t>
        </is>
      </c>
      <c r="B8" s="17" t="n">
        <v>85</v>
      </c>
      <c r="C8" s="17" t="n">
        <v>0</v>
      </c>
      <c r="D8" s="17" t="n">
        <v>85</v>
      </c>
      <c r="E8" s="17" t="n">
        <v>150</v>
      </c>
      <c r="F8" s="17" t="n">
        <v>65</v>
      </c>
      <c r="G8" s="18" t="n">
        <v>0</v>
      </c>
      <c r="H8" s="17" t="n">
        <v>0</v>
      </c>
    </row>
    <row r="9">
      <c r="A9" s="16" t="inlineStr">
        <is>
          <t>Placa Carro</t>
        </is>
      </c>
      <c r="B9" s="17" t="n">
        <v>140</v>
      </c>
      <c r="C9" s="17" t="n">
        <v>0</v>
      </c>
      <c r="D9" s="17" t="n">
        <v>140</v>
      </c>
      <c r="E9" s="17" t="n">
        <v>245</v>
      </c>
      <c r="F9" s="17" t="n">
        <v>105</v>
      </c>
      <c r="G9" s="18" t="n">
        <v>0.1</v>
      </c>
      <c r="H9" s="17" t="n">
        <v>10.5</v>
      </c>
    </row>
    <row r="10">
      <c r="A10" s="16" t="inlineStr">
        <is>
          <t>APTV</t>
        </is>
      </c>
      <c r="B10" s="17" t="n">
        <v>4.7</v>
      </c>
      <c r="C10" s="17" t="n">
        <v>0</v>
      </c>
      <c r="D10" s="17" t="n">
        <v>4.7</v>
      </c>
      <c r="E10" s="17" t="n">
        <v>45</v>
      </c>
      <c r="F10" s="17" t="n">
        <v>40.3</v>
      </c>
      <c r="G10" s="18" t="n">
        <v>0.05</v>
      </c>
      <c r="H10" s="17" t="n">
        <v>2.015</v>
      </c>
    </row>
    <row r="11">
      <c r="A11" s="16" t="inlineStr">
        <is>
          <t>Emissão de Porte</t>
        </is>
      </c>
      <c r="B11" s="17" t="n">
        <v>4.7</v>
      </c>
      <c r="C11" s="17" t="n">
        <v>0</v>
      </c>
      <c r="D11" s="17" t="n">
        <v>4.7</v>
      </c>
      <c r="E11" s="17" t="n">
        <v>45</v>
      </c>
      <c r="F11" s="17" t="n">
        <v>40.3</v>
      </c>
      <c r="G11" s="18" t="n">
        <v>0</v>
      </c>
      <c r="H11" s="17" t="n">
        <v>0</v>
      </c>
    </row>
    <row r="13">
      <c r="A13" s="19" t="inlineStr">
        <is>
          <t>LUCRO MÉDIO PONDERADO</t>
        </is>
      </c>
      <c r="B13" s="20" t="n">
        <v>158.205</v>
      </c>
    </row>
    <row r="14">
      <c r="A14" s="19" t="inlineStr">
        <is>
          <t>TICKET MÉDIO PONDERADO</t>
        </is>
      </c>
      <c r="B14" s="5" t="n">
        <v>422.25</v>
      </c>
    </row>
    <row r="17">
      <c r="A17" s="7" t="inlineStr">
        <is>
          <t>Como ler</t>
        </is>
      </c>
    </row>
    <row r="18">
      <c r="A18" s="9" t="inlineStr">
        <is>
          <t>O lucro bruto é o que sobra DEPOIS dos custos do processo e operacionais — é ele que paga a mídia e gera ROI.</t>
        </is>
      </c>
    </row>
    <row r="19">
      <c r="A19" s="9" t="inlineStr">
        <is>
          <t>Break-even de mídia = Investimento ÷ Lucro bruto médio. Ex.: R$ 500 ÷ R$ 158 ≈ 3,2 serviços fechados.</t>
        </is>
      </c>
    </row>
    <row r="20">
      <c r="A20" s="9" t="inlineStr">
        <is>
          <t>Ajuste a coluna Mix se a carteira de leads vier diferente (ex.: mais licenciamento no começo do ano).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38" customWidth="1" min="3" max="3"/>
    <col width="40" customWidth="1" min="4" max="4"/>
    <col width="14" customWidth="1" min="5" max="5"/>
    <col width="42" customWidth="1" min="6" max="6"/>
  </cols>
  <sheetData>
    <row r="1">
      <c r="A1" s="14" t="inlineStr">
        <is>
          <t>Google vs Meta — o que usar, raio, idade e criativos</t>
        </is>
      </c>
    </row>
    <row r="3">
      <c r="A3" s="8" t="inlineStr">
        <is>
          <t>Tema</t>
        </is>
      </c>
      <c r="B3" s="8" t="inlineStr">
        <is>
          <t>Meta Ads</t>
        </is>
      </c>
      <c r="C3" s="8" t="inlineStr">
        <is>
          <t>Google Ads</t>
        </is>
      </c>
      <c r="D3" s="8" t="inlineStr">
        <is>
          <t>Recomendação</t>
        </is>
      </c>
    </row>
    <row r="4" ht="48" customHeight="1">
      <c r="A4" s="21" t="inlineStr">
        <is>
          <t>Papel principal</t>
        </is>
      </c>
      <c r="B4" s="21" t="inlineStr">
        <is>
          <t>Volume + WhatsApp (topo/meio de funil)</t>
        </is>
      </c>
      <c r="C4" s="21" t="inlineStr">
        <is>
          <t>Intenção alta (fundo de funil)</t>
        </is>
      </c>
      <c r="D4" s="21" t="inlineStr">
        <is>
          <t>Meta como motor; Google como captura</t>
        </is>
      </c>
    </row>
    <row r="5" ht="48" customHeight="1">
      <c r="A5" s="21" t="inlineStr">
        <is>
          <t>Formatos</t>
        </is>
      </c>
      <c r="B5" s="21" t="inlineStr">
        <is>
          <t>Tráfego p/ WhatsApp, Local Awareness, Reels/Feed</t>
        </is>
      </c>
      <c r="C5" s="21" t="inlineStr">
        <is>
          <t>Search + Performance Max + Perfil Business/Maps</t>
        </is>
      </c>
      <c r="D5" s="21" t="inlineStr">
        <is>
          <t>WhatsApp clique no Meta; palavras-chave no Google</t>
        </is>
      </c>
    </row>
    <row r="6" ht="48" customHeight="1">
      <c r="A6" s="21" t="inlineStr">
        <is>
          <t>CPA estimado (base)</t>
        </is>
      </c>
      <c r="B6" s="21" t="inlineStr">
        <is>
          <t>R$ 55 / serviço fechado</t>
        </is>
      </c>
      <c r="C6" s="21" t="inlineStr">
        <is>
          <t>R$ 70 / serviço fechado</t>
        </is>
      </c>
      <c r="D6" s="21" t="inlineStr">
        <is>
          <t>Meta mais barato; Google converte melhor quem busca</t>
        </is>
      </c>
    </row>
    <row r="7" ht="48" customHeight="1">
      <c r="A7" s="21" t="inlineStr">
        <is>
          <t>Quando priorizar</t>
        </is>
      </c>
      <c r="B7" s="21" t="inlineStr">
        <is>
          <t>Orçamento baixo, marca nova, prova social</t>
        </is>
      </c>
      <c r="C7" s="21" t="inlineStr">
        <is>
          <t>Já tem demanda de busca / Maps forte</t>
        </is>
      </c>
      <c r="D7" s="21" t="inlineStr">
        <is>
          <t>Começar Meta; escalar Google no R$ 1.000</t>
        </is>
      </c>
    </row>
    <row r="8" ht="48" customHeight="1">
      <c r="A8" s="21" t="inlineStr">
        <is>
          <t>Raio geográfico</t>
        </is>
      </c>
      <c r="B8" s="21" t="inlineStr">
        <is>
          <t>15–20 km do Campo do Kigol</t>
        </is>
      </c>
      <c r="C8" s="21" t="inlineStr">
        <is>
          <t>Cosmópolis + Artur Nogueira (+ interesse)</t>
        </is>
      </c>
      <c r="D8" s="21" t="inlineStr">
        <is>
          <t>Não abrir &gt;25 km no início (dilui orçamento)</t>
        </is>
      </c>
    </row>
    <row r="9" ht="48" customHeight="1">
      <c r="A9" s="21" t="inlineStr">
        <is>
          <t>Faixa etária</t>
        </is>
      </c>
      <c r="B9" s="21" t="inlineStr">
        <is>
          <t>25–54 (core 30–49)</t>
        </is>
      </c>
      <c r="C9" s="21" t="inlineStr">
        <is>
          <t>Não forçar idade no Search; no Display 25–54</t>
        </is>
      </c>
      <c r="D9" s="21" t="inlineStr">
        <is>
          <t>25–54 cobre comprador/vendedor de carro</t>
        </is>
      </c>
    </row>
    <row r="10" ht="48" customHeight="1">
      <c r="A10" s="21" t="inlineStr">
        <is>
          <t>Gênero</t>
        </is>
      </c>
      <c r="B10" s="21" t="inlineStr">
        <is>
          <t>Todos</t>
        </is>
      </c>
      <c r="C10" s="21" t="inlineStr">
        <is>
          <t>Todos</t>
        </is>
      </c>
      <c r="D10" s="21" t="inlineStr">
        <is>
          <t>Sem restrição</t>
        </is>
      </c>
    </row>
    <row r="11" ht="48" customHeight="1">
      <c r="A11" s="21" t="inlineStr">
        <is>
          <t>Interesses / palavras</t>
        </is>
      </c>
      <c r="B11" s="21" t="inlineStr">
        <is>
          <t>Carros, DETRAN, compra/venda veículo, moto</t>
        </is>
      </c>
      <c r="C11" s="21" t="inlineStr">
        <is>
          <t>despachante cosmópolis, transferência veículo, licenciamento</t>
        </is>
      </c>
      <c r="D11" s="21" t="inlineStr">
        <is>
          <t>Google = intenção; Meta = contexto + remarketing</t>
        </is>
      </c>
    </row>
    <row r="12" ht="48" customHeight="1">
      <c r="A12" s="21" t="inlineStr">
        <is>
          <t>Horário</t>
        </is>
      </c>
      <c r="B12" s="21" t="inlineStr">
        <is>
          <t>Seg–Sáb 8h–20h (pico 10h–13h e 17h–20h)</t>
        </is>
      </c>
      <c r="C12" s="21" t="inlineStr">
        <is>
          <t>Mesmo horário + finais de semana se atender</t>
        </is>
      </c>
      <c r="D12" s="21" t="inlineStr">
        <is>
          <t>Alinhar com horário real de WhatsApp</t>
        </is>
      </c>
    </row>
    <row r="13" ht="48" customHeight="1">
      <c r="A13" s="21" t="inlineStr">
        <is>
          <t>Criativo</t>
        </is>
      </c>
      <c r="B13" s="21" t="inlineStr">
        <is>
          <t>Fotos pessoas/carro + CTA WhatsApp + telefone</t>
        </is>
      </c>
      <c r="C13" s="21" t="inlineStr">
        <is>
          <t>Extensões de ligação/local + sitelinks serviços</t>
        </is>
      </c>
      <c r="D13" s="21" t="inlineStr">
        <is>
          <t>Usar os criativos já feitos no repositório</t>
        </is>
      </c>
    </row>
    <row r="14" ht="48" customHeight="1">
      <c r="A14" s="21" t="inlineStr">
        <is>
          <t>KPI principal</t>
        </is>
      </c>
      <c r="B14" s="21" t="inlineStr">
        <is>
          <t>Conversas WhatsApp → fechamentos</t>
        </is>
      </c>
      <c r="C14" s="21" t="inlineStr">
        <is>
          <t>Cliques → ligações/WhatsApp → fechamentos</t>
        </is>
      </c>
      <c r="D14" s="21" t="inlineStr">
        <is>
          <t>Marcar origem no WhatsApp (Meta/Google)</t>
        </is>
      </c>
    </row>
    <row r="17">
      <c r="A17" s="7" t="inlineStr">
        <is>
          <t>SPLIT DE ORÇAMENTO SUGERIDO</t>
        </is>
      </c>
    </row>
    <row r="18">
      <c r="A18" s="22" t="inlineStr">
        <is>
          <t>Investimento</t>
        </is>
      </c>
      <c r="B18" s="22" t="inlineStr">
        <is>
          <t>% Meta</t>
        </is>
      </c>
      <c r="C18" s="22" t="inlineStr">
        <is>
          <t>% Google</t>
        </is>
      </c>
      <c r="D18" s="22" t="inlineStr">
        <is>
          <t>R$ Meta</t>
        </is>
      </c>
      <c r="E18" s="22" t="inlineStr">
        <is>
          <t>R$ Google</t>
        </is>
      </c>
      <c r="F18" s="22" t="inlineStr">
        <is>
          <t>Por quê</t>
        </is>
      </c>
    </row>
    <row r="19">
      <c r="A19" s="5" t="n">
        <v>500</v>
      </c>
      <c r="B19" s="12" t="n">
        <v>0.7</v>
      </c>
      <c r="C19" s="12" t="n">
        <v>0.3</v>
      </c>
      <c r="D19" s="5" t="n">
        <v>350</v>
      </c>
      <c r="E19" s="5" t="n">
        <v>150</v>
      </c>
      <c r="F19" s="9" t="inlineStr">
        <is>
          <t>Pouca verba: gerar conversa no WhatsApp primeiro</t>
        </is>
      </c>
    </row>
    <row r="20">
      <c r="A20" s="5" t="n">
        <v>1000</v>
      </c>
      <c r="B20" s="12" t="n">
        <v>0.6</v>
      </c>
      <c r="C20" s="12" t="n">
        <v>0.4</v>
      </c>
      <c r="D20" s="5" t="n">
        <v>600</v>
      </c>
      <c r="E20" s="5" t="n">
        <v>400</v>
      </c>
      <c r="F20" s="9" t="inlineStr">
        <is>
          <t>Escala: capturar busca + reforçar marca</t>
        </is>
      </c>
    </row>
    <row r="23">
      <c r="A23" s="7" t="inlineStr">
        <is>
          <t>RAIO DETALHADO</t>
        </is>
      </c>
    </row>
    <row r="24">
      <c r="A24" s="9" t="inlineStr">
        <is>
          <t>Pino: R. Dr. Luiz Nicolau Nolandi / Campo do Kigol — Novo Horizonte, Cosmópolis-SP (CEP 13150-548)</t>
        </is>
      </c>
    </row>
    <row r="25">
      <c r="A25" s="9" t="inlineStr">
        <is>
          <t>Raio fase 1 (mês 1–2): 15 km — Cosmópolis inteira + borda Artur Nogueira</t>
        </is>
      </c>
    </row>
    <row r="26">
      <c r="A26" s="9" t="inlineStr">
        <is>
          <t>Raio fase 2 (se CPA ok): 20–25 km — Artur Nogueira e entorno</t>
        </is>
      </c>
    </row>
    <row r="27">
      <c r="A27" s="9" t="inlineStr">
        <is>
          <t>Evitar: Campinas/Paulínia amplo no começo (CPA sobe e atendimento dilui)</t>
        </is>
      </c>
    </row>
  </sheetData>
  <mergeCells count="5">
    <mergeCell ref="A24:F24"/>
    <mergeCell ref="A1:F1"/>
    <mergeCell ref="A27:F27"/>
    <mergeCell ref="A26:F26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14" customWidth="1" min="4" max="4"/>
    <col width="20" customWidth="1" min="5" max="5"/>
    <col width="16" customWidth="1" min="6" max="6"/>
    <col width="12" customWidth="1" min="7" max="7"/>
    <col width="16" customWidth="1" min="8" max="8"/>
    <col width="22" customWidth="1" min="9" max="9"/>
  </cols>
  <sheetData>
    <row r="1">
      <c r="A1" s="14" t="inlineStr">
        <is>
          <t>DRE projetado — investimento R$ 500/mês em tráfego</t>
        </is>
      </c>
    </row>
    <row r="2">
      <c r="A2" s="13" t="inlineStr">
        <is>
          <t>Lucro após mídia = (Vendas × Lucro bruto médio) − Investimento em ads. Não inclui aluguel/salário fixo.</t>
        </is>
      </c>
    </row>
    <row r="4">
      <c r="A4" s="6" t="inlineStr">
        <is>
          <t>CENÁRIOS DE CPA (custo por serviço fechado)</t>
        </is>
      </c>
    </row>
    <row r="5">
      <c r="A5" s="8" t="inlineStr">
        <is>
          <t>Indicador</t>
        </is>
      </c>
      <c r="B5" s="8" t="inlineStr">
        <is>
          <t>Conservador</t>
        </is>
      </c>
      <c r="C5" s="8" t="inlineStr">
        <is>
          <t>Base</t>
        </is>
      </c>
      <c r="D5" s="8" t="inlineStr">
        <is>
          <t>Otimista</t>
        </is>
      </c>
    </row>
    <row r="6">
      <c r="A6" s="9" t="inlineStr">
        <is>
          <t>Investimento mídia</t>
        </is>
      </c>
      <c r="B6" s="5" t="n">
        <v>500</v>
      </c>
      <c r="C6" s="5" t="n">
        <v>500</v>
      </c>
      <c r="D6" s="5" t="n">
        <v>500</v>
      </c>
    </row>
    <row r="7">
      <c r="A7" s="9" t="inlineStr">
        <is>
          <t>Verba Meta</t>
        </is>
      </c>
      <c r="B7" s="5" t="n">
        <v>350</v>
      </c>
      <c r="C7" s="5" t="n">
        <v>350</v>
      </c>
      <c r="D7" s="5" t="n">
        <v>350</v>
      </c>
    </row>
    <row r="8">
      <c r="A8" s="9" t="inlineStr">
        <is>
          <t>Verba Google</t>
        </is>
      </c>
      <c r="B8" s="5" t="n">
        <v>150</v>
      </c>
      <c r="C8" s="5" t="n">
        <v>150</v>
      </c>
      <c r="D8" s="5" t="n">
        <v>150</v>
      </c>
    </row>
    <row r="9">
      <c r="A9" s="9" t="inlineStr">
        <is>
          <t>CPA Meta</t>
        </is>
      </c>
      <c r="B9" s="5" t="n">
        <v>75</v>
      </c>
      <c r="C9" s="5" t="n">
        <v>55</v>
      </c>
      <c r="D9" s="5" t="n">
        <v>40</v>
      </c>
    </row>
    <row r="10">
      <c r="A10" s="9" t="inlineStr">
        <is>
          <t>CPA Google</t>
        </is>
      </c>
      <c r="B10" s="5" t="n">
        <v>95</v>
      </c>
      <c r="C10" s="5" t="n">
        <v>70</v>
      </c>
      <c r="D10" s="5" t="n">
        <v>50</v>
      </c>
    </row>
    <row r="11">
      <c r="A11" s="9" t="inlineStr">
        <is>
          <t>Vendas Meta</t>
        </is>
      </c>
      <c r="B11" s="23" t="n">
        <v>4.666666666666667</v>
      </c>
      <c r="C11" s="23" t="n">
        <v>6.363636363636363</v>
      </c>
      <c r="D11" s="23" t="n">
        <v>8.75</v>
      </c>
    </row>
    <row r="12">
      <c r="A12" s="9" t="inlineStr">
        <is>
          <t>Vendas Google</t>
        </is>
      </c>
      <c r="B12" s="23" t="n">
        <v>1.578947368421053</v>
      </c>
      <c r="C12" s="23" t="n">
        <v>2.142857142857143</v>
      </c>
      <c r="D12" s="23" t="n">
        <v>3</v>
      </c>
    </row>
    <row r="13">
      <c r="A13" s="9" t="inlineStr">
        <is>
          <t>Vendas totais / mês</t>
        </is>
      </c>
      <c r="B13" s="23" t="n">
        <v>6.245614035087719</v>
      </c>
      <c r="C13" s="23" t="n">
        <v>8.506493506493506</v>
      </c>
      <c r="D13" s="23" t="n">
        <v>11.75</v>
      </c>
    </row>
    <row r="14">
      <c r="A14" s="9" t="inlineStr">
        <is>
          <t>Vendas p/ break-even</t>
        </is>
      </c>
      <c r="B14" s="23" t="n">
        <v>3.160456369899813</v>
      </c>
      <c r="C14" s="23" t="n">
        <v>3.160456369899813</v>
      </c>
      <c r="D14" s="23" t="n">
        <v>3.160456369899813</v>
      </c>
    </row>
    <row r="15">
      <c r="A15" s="9" t="inlineStr">
        <is>
          <t>Receita bruta (ticket médio)</t>
        </is>
      </c>
      <c r="B15" s="5" t="n">
        <v>2637.21052631579</v>
      </c>
      <c r="C15" s="5" t="n">
        <v>3591.866883116883</v>
      </c>
      <c r="D15" s="5" t="n">
        <v>4961.4375</v>
      </c>
    </row>
    <row r="16">
      <c r="A16" s="9" t="inlineStr">
        <is>
          <t>(-) Custos processos/op. (implícitos no lucro)</t>
        </is>
      </c>
      <c r="B16" s="24" t="inlineStr">
        <is>
          <t>—</t>
        </is>
      </c>
      <c r="C16" s="24" t="inlineStr">
        <is>
          <t>—</t>
        </is>
      </c>
      <c r="D16" s="24" t="inlineStr">
        <is>
          <t>—</t>
        </is>
      </c>
    </row>
    <row r="17">
      <c r="A17" s="9" t="inlineStr">
        <is>
          <t>Lucro bruto dos serviços</t>
        </is>
      </c>
      <c r="B17" s="5" t="n">
        <v>988.0873684210527</v>
      </c>
      <c r="C17" s="5" t="n">
        <v>1345.769805194805</v>
      </c>
      <c r="D17" s="5" t="n">
        <v>1858.90875</v>
      </c>
    </row>
    <row r="18">
      <c r="A18" s="9" t="inlineStr">
        <is>
          <t>(-) Investimento mídia</t>
        </is>
      </c>
      <c r="B18" s="5" t="n">
        <v>500</v>
      </c>
      <c r="C18" s="5" t="n">
        <v>500</v>
      </c>
      <c r="D18" s="5" t="n">
        <v>500</v>
      </c>
    </row>
    <row r="19">
      <c r="A19" s="25">
        <f> Lucro após mídia</f>
        <v/>
      </c>
      <c r="B19" s="11" t="n">
        <v>488.0873684210527</v>
      </c>
      <c r="C19" s="11" t="n">
        <v>845.7698051948053</v>
      </c>
      <c r="D19" s="11" t="n">
        <v>1358.90875</v>
      </c>
    </row>
    <row r="20">
      <c r="A20" s="9" t="inlineStr">
        <is>
          <t>ROI (lucro após mídia / invest.)</t>
        </is>
      </c>
      <c r="B20" s="12" t="n">
        <v>0.9761747368421054</v>
      </c>
      <c r="C20" s="12" t="n">
        <v>1.691539610389611</v>
      </c>
      <c r="D20" s="12" t="n">
        <v>2.7178175</v>
      </c>
    </row>
    <row r="21">
      <c r="A21" s="9" t="inlineStr">
        <is>
          <t>ROAS lucro (lucro bruto / invest.)</t>
        </is>
      </c>
      <c r="B21" s="12" t="n">
        <v>1.976174736842105</v>
      </c>
      <c r="C21" s="12" t="n">
        <v>2.691539610389611</v>
      </c>
      <c r="D21" s="12" t="n">
        <v>3.7178175</v>
      </c>
    </row>
    <row r="24">
      <c r="A24" s="7" t="inlineStr">
        <is>
          <t>DRE MENSAL 6 MESES — CENÁRIO BASE (com curva de aprendizado)</t>
        </is>
      </c>
    </row>
    <row r="25">
      <c r="A25" s="13" t="inlineStr">
        <is>
          <t>Mês 1: CPA 20% pior | Mês 2: CPA base | Mês 3+: CPA 10% melhor (otimização)</t>
        </is>
      </c>
    </row>
    <row r="27">
      <c r="A27" s="22" t="inlineStr">
        <is>
          <t>Mês</t>
        </is>
      </c>
      <c r="B27" s="22" t="inlineStr">
        <is>
          <t>Investimento</t>
        </is>
      </c>
      <c r="C27" s="22" t="inlineStr">
        <is>
          <t>Vendas</t>
        </is>
      </c>
      <c r="D27" s="22" t="inlineStr">
        <is>
          <t>Receita</t>
        </is>
      </c>
      <c r="E27" s="22" t="inlineStr">
        <is>
          <t>Lucro bruto serviços</t>
        </is>
      </c>
      <c r="F27" s="22" t="inlineStr">
        <is>
          <t>Lucro após mídia</t>
        </is>
      </c>
      <c r="G27" s="22" t="inlineStr">
        <is>
          <t>ROI</t>
        </is>
      </c>
      <c r="H27" s="22" t="inlineStr">
        <is>
          <t>Lucro acumulado</t>
        </is>
      </c>
      <c r="I27" s="22" t="inlineStr">
        <is>
          <t>Status</t>
        </is>
      </c>
    </row>
    <row r="28">
      <c r="A28" s="9" t="inlineStr">
        <is>
          <t>Mês 1</t>
        </is>
      </c>
      <c r="B28" s="5" t="n">
        <v>500</v>
      </c>
      <c r="C28" s="26" t="n">
        <v>7.088744588744588</v>
      </c>
      <c r="D28" s="5" t="n">
        <v>2993.222402597402</v>
      </c>
      <c r="E28" s="5" t="n">
        <v>1121.474837662338</v>
      </c>
      <c r="F28" s="11" t="n">
        <v>621.4748376623377</v>
      </c>
      <c r="G28" s="12" t="n">
        <v>1.242949675324675</v>
      </c>
      <c r="H28" s="5" t="n">
        <v>621.4748376623377</v>
      </c>
      <c r="I28" s="27" t="inlineStr">
        <is>
          <t>Break-even acumulado</t>
        </is>
      </c>
    </row>
    <row r="29">
      <c r="A29" s="9" t="inlineStr">
        <is>
          <t>Mês 2</t>
        </is>
      </c>
      <c r="B29" s="5" t="n">
        <v>500</v>
      </c>
      <c r="C29" s="26" t="n">
        <v>8.506493506493506</v>
      </c>
      <c r="D29" s="5" t="n">
        <v>3591.866883116883</v>
      </c>
      <c r="E29" s="5" t="n">
        <v>1345.769805194805</v>
      </c>
      <c r="F29" s="11" t="n">
        <v>845.7698051948053</v>
      </c>
      <c r="G29" s="12" t="n">
        <v>1.691539610389611</v>
      </c>
      <c r="H29" s="5" t="n">
        <v>1467.244642857143</v>
      </c>
      <c r="I29" s="27" t="inlineStr">
        <is>
          <t>ROI positivo no mês</t>
        </is>
      </c>
    </row>
    <row r="30">
      <c r="A30" s="9" t="inlineStr">
        <is>
          <t>Mês 3</t>
        </is>
      </c>
      <c r="B30" s="5" t="n">
        <v>500</v>
      </c>
      <c r="C30" s="26" t="n">
        <v>9.451659451659451</v>
      </c>
      <c r="D30" s="5" t="n">
        <v>3990.963203463203</v>
      </c>
      <c r="E30" s="5" t="n">
        <v>1495.299783549784</v>
      </c>
      <c r="F30" s="11" t="n">
        <v>995.2997835497836</v>
      </c>
      <c r="G30" s="12" t="n">
        <v>1.990599567099567</v>
      </c>
      <c r="H30" s="5" t="n">
        <v>2462.544426406927</v>
      </c>
      <c r="I30" s="27" t="inlineStr">
        <is>
          <t>ROI positivo no mês</t>
        </is>
      </c>
    </row>
    <row r="31">
      <c r="A31" s="9" t="inlineStr">
        <is>
          <t>Mês 4</t>
        </is>
      </c>
      <c r="B31" s="5" t="n">
        <v>500</v>
      </c>
      <c r="C31" s="26" t="n">
        <v>9.451659451659451</v>
      </c>
      <c r="D31" s="5" t="n">
        <v>3990.963203463203</v>
      </c>
      <c r="E31" s="5" t="n">
        <v>1495.299783549784</v>
      </c>
      <c r="F31" s="11" t="n">
        <v>995.2997835497836</v>
      </c>
      <c r="G31" s="12" t="n">
        <v>1.990599567099567</v>
      </c>
      <c r="H31" s="5" t="n">
        <v>3457.84420995671</v>
      </c>
      <c r="I31" s="27" t="inlineStr">
        <is>
          <t>ROI positivo no mês</t>
        </is>
      </c>
    </row>
    <row r="32">
      <c r="A32" s="9" t="inlineStr">
        <is>
          <t>Mês 5</t>
        </is>
      </c>
      <c r="B32" s="5" t="n">
        <v>500</v>
      </c>
      <c r="C32" s="26" t="n">
        <v>10.00763941940412</v>
      </c>
      <c r="D32" s="5" t="n">
        <v>4225.725744843392</v>
      </c>
      <c r="E32" s="5" t="n">
        <v>1583.25859434683</v>
      </c>
      <c r="F32" s="11" t="n">
        <v>1083.25859434683</v>
      </c>
      <c r="G32" s="12" t="n">
        <v>2.16651718869366</v>
      </c>
      <c r="H32" s="5" t="n">
        <v>4541.10280430354</v>
      </c>
      <c r="I32" s="27" t="inlineStr">
        <is>
          <t>ROI positivo no mês</t>
        </is>
      </c>
    </row>
    <row r="33">
      <c r="A33" s="9" t="inlineStr">
        <is>
          <t>Mês 6</t>
        </is>
      </c>
      <c r="B33" s="5" t="n">
        <v>500</v>
      </c>
      <c r="C33" s="26" t="n">
        <v>10.00763941940412</v>
      </c>
      <c r="D33" s="5" t="n">
        <v>4225.725744843392</v>
      </c>
      <c r="E33" s="5" t="n">
        <v>1583.25859434683</v>
      </c>
      <c r="F33" s="11" t="n">
        <v>1083.25859434683</v>
      </c>
      <c r="G33" s="12" t="n">
        <v>2.16651718869366</v>
      </c>
      <c r="H33" s="5" t="n">
        <v>5624.36139865037</v>
      </c>
      <c r="I33" s="27" t="inlineStr">
        <is>
          <t>ROI positivo no mês</t>
        </is>
      </c>
    </row>
    <row r="35">
      <c r="A35" s="7" t="inlineStr">
        <is>
          <t>LT (PRAZO) — LEITURA</t>
        </is>
      </c>
    </row>
    <row r="36">
      <c r="A36" s="9" t="inlineStr">
        <is>
          <t>LT break-even (vendas no mês): 3.2 serviços fechados para cobrir R$ 500</t>
        </is>
      </c>
    </row>
    <row r="37">
      <c r="A37" s="9" t="inlineStr">
        <is>
          <t>LT break-even acumulado (cenário base com curva): Mês 1</t>
        </is>
      </c>
    </row>
    <row r="38">
      <c r="A38" s="9" t="inlineStr">
        <is>
          <t>LT que começa a dar ROI no mês (lucro após mídia &gt; 0): Mês 1</t>
        </is>
      </c>
    </row>
    <row r="39">
      <c r="A39" s="9" t="inlineStr">
        <is>
          <t>ROI consistente (após otimização CPA): a partir do Mês 2–3, mantendo tracking de origem no WhatsApp.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14" customWidth="1" min="4" max="4"/>
    <col width="20" customWidth="1" min="5" max="5"/>
    <col width="16" customWidth="1" min="6" max="6"/>
    <col width="12" customWidth="1" min="7" max="7"/>
    <col width="16" customWidth="1" min="8" max="8"/>
    <col width="22" customWidth="1" min="9" max="9"/>
  </cols>
  <sheetData>
    <row r="1">
      <c r="A1" s="14" t="inlineStr">
        <is>
          <t>DRE projetado — investimento R$ 1.000/mês em tráfego</t>
        </is>
      </c>
    </row>
    <row r="2">
      <c r="A2" s="13" t="inlineStr">
        <is>
          <t>Lucro após mídia = (Vendas × Lucro bruto médio) − Investimento em ads. Não inclui aluguel/salário fixo.</t>
        </is>
      </c>
    </row>
    <row r="4">
      <c r="A4" s="6" t="inlineStr">
        <is>
          <t>CENÁRIOS DE CPA (custo por serviço fechado)</t>
        </is>
      </c>
    </row>
    <row r="5">
      <c r="A5" s="8" t="inlineStr">
        <is>
          <t>Indicador</t>
        </is>
      </c>
      <c r="B5" s="8" t="inlineStr">
        <is>
          <t>Conservador</t>
        </is>
      </c>
      <c r="C5" s="8" t="inlineStr">
        <is>
          <t>Base</t>
        </is>
      </c>
      <c r="D5" s="8" t="inlineStr">
        <is>
          <t>Otimista</t>
        </is>
      </c>
    </row>
    <row r="6">
      <c r="A6" s="9" t="inlineStr">
        <is>
          <t>Investimento mídia</t>
        </is>
      </c>
      <c r="B6" s="5" t="n">
        <v>1000</v>
      </c>
      <c r="C6" s="5" t="n">
        <v>1000</v>
      </c>
      <c r="D6" s="5" t="n">
        <v>1000</v>
      </c>
    </row>
    <row r="7">
      <c r="A7" s="9" t="inlineStr">
        <is>
          <t>Verba Meta</t>
        </is>
      </c>
      <c r="B7" s="5" t="n">
        <v>600</v>
      </c>
      <c r="C7" s="5" t="n">
        <v>600</v>
      </c>
      <c r="D7" s="5" t="n">
        <v>600</v>
      </c>
    </row>
    <row r="8">
      <c r="A8" s="9" t="inlineStr">
        <is>
          <t>Verba Google</t>
        </is>
      </c>
      <c r="B8" s="5" t="n">
        <v>400</v>
      </c>
      <c r="C8" s="5" t="n">
        <v>400</v>
      </c>
      <c r="D8" s="5" t="n">
        <v>400</v>
      </c>
    </row>
    <row r="9">
      <c r="A9" s="9" t="inlineStr">
        <is>
          <t>CPA Meta</t>
        </is>
      </c>
      <c r="B9" s="5" t="n">
        <v>75</v>
      </c>
      <c r="C9" s="5" t="n">
        <v>55</v>
      </c>
      <c r="D9" s="5" t="n">
        <v>40</v>
      </c>
    </row>
    <row r="10">
      <c r="A10" s="9" t="inlineStr">
        <is>
          <t>CPA Google</t>
        </is>
      </c>
      <c r="B10" s="5" t="n">
        <v>95</v>
      </c>
      <c r="C10" s="5" t="n">
        <v>70</v>
      </c>
      <c r="D10" s="5" t="n">
        <v>50</v>
      </c>
    </row>
    <row r="11">
      <c r="A11" s="9" t="inlineStr">
        <is>
          <t>Vendas Meta</t>
        </is>
      </c>
      <c r="B11" s="23" t="n">
        <v>8</v>
      </c>
      <c r="C11" s="23" t="n">
        <v>10.90909090909091</v>
      </c>
      <c r="D11" s="23" t="n">
        <v>15</v>
      </c>
    </row>
    <row r="12">
      <c r="A12" s="9" t="inlineStr">
        <is>
          <t>Vendas Google</t>
        </is>
      </c>
      <c r="B12" s="23" t="n">
        <v>4.210526315789473</v>
      </c>
      <c r="C12" s="23" t="n">
        <v>5.714285714285714</v>
      </c>
      <c r="D12" s="23" t="n">
        <v>8</v>
      </c>
    </row>
    <row r="13">
      <c r="A13" s="9" t="inlineStr">
        <is>
          <t>Vendas totais / mês</t>
        </is>
      </c>
      <c r="B13" s="23" t="n">
        <v>12.21052631578947</v>
      </c>
      <c r="C13" s="23" t="n">
        <v>16.62337662337662</v>
      </c>
      <c r="D13" s="23" t="n">
        <v>23</v>
      </c>
    </row>
    <row r="14">
      <c r="A14" s="9" t="inlineStr">
        <is>
          <t>Vendas p/ break-even</t>
        </is>
      </c>
      <c r="B14" s="23" t="n">
        <v>6.320912739799627</v>
      </c>
      <c r="C14" s="23" t="n">
        <v>6.320912739799627</v>
      </c>
      <c r="D14" s="23" t="n">
        <v>6.320912739799627</v>
      </c>
    </row>
    <row r="15">
      <c r="A15" s="9" t="inlineStr">
        <is>
          <t>Receita bruta (ticket médio)</t>
        </is>
      </c>
      <c r="B15" s="5" t="n">
        <v>5155.894736842105</v>
      </c>
      <c r="C15" s="5" t="n">
        <v>7019.220779220778</v>
      </c>
      <c r="D15" s="5" t="n">
        <v>9711.75</v>
      </c>
    </row>
    <row r="16">
      <c r="A16" s="9" t="inlineStr">
        <is>
          <t>(-) Custos processos/op. (implícitos no lucro)</t>
        </is>
      </c>
      <c r="B16" s="24" t="inlineStr">
        <is>
          <t>—</t>
        </is>
      </c>
      <c r="C16" s="24" t="inlineStr">
        <is>
          <t>—</t>
        </is>
      </c>
      <c r="D16" s="24" t="inlineStr">
        <is>
          <t>—</t>
        </is>
      </c>
    </row>
    <row r="17">
      <c r="A17" s="9" t="inlineStr">
        <is>
          <t>Lucro bruto dos serviços</t>
        </is>
      </c>
      <c r="B17" s="5" t="n">
        <v>1931.766315789474</v>
      </c>
      <c r="C17" s="5" t="n">
        <v>2629.901298701299</v>
      </c>
      <c r="D17" s="5" t="n">
        <v>3638.715</v>
      </c>
    </row>
    <row r="18">
      <c r="A18" s="9" t="inlineStr">
        <is>
          <t>(-) Investimento mídia</t>
        </is>
      </c>
      <c r="B18" s="5" t="n">
        <v>1000</v>
      </c>
      <c r="C18" s="5" t="n">
        <v>1000</v>
      </c>
      <c r="D18" s="5" t="n">
        <v>1000</v>
      </c>
    </row>
    <row r="19">
      <c r="A19" s="25">
        <f> Lucro após mídia</f>
        <v/>
      </c>
      <c r="B19" s="11" t="n">
        <v>931.7663157894738</v>
      </c>
      <c r="C19" s="11" t="n">
        <v>1629.901298701299</v>
      </c>
      <c r="D19" s="11" t="n">
        <v>2638.715</v>
      </c>
    </row>
    <row r="20">
      <c r="A20" s="9" t="inlineStr">
        <is>
          <t>ROI (lucro após mídia / invest.)</t>
        </is>
      </c>
      <c r="B20" s="12" t="n">
        <v>0.9317663157894738</v>
      </c>
      <c r="C20" s="12" t="n">
        <v>1.629901298701299</v>
      </c>
      <c r="D20" s="12" t="n">
        <v>2.638715</v>
      </c>
    </row>
    <row r="21">
      <c r="A21" s="9" t="inlineStr">
        <is>
          <t>ROAS lucro (lucro bruto / invest.)</t>
        </is>
      </c>
      <c r="B21" s="12" t="n">
        <v>1.931766315789474</v>
      </c>
      <c r="C21" s="12" t="n">
        <v>2.629901298701299</v>
      </c>
      <c r="D21" s="12" t="n">
        <v>3.638715</v>
      </c>
    </row>
    <row r="24">
      <c r="A24" s="7" t="inlineStr">
        <is>
          <t>DRE MENSAL 6 MESES — CENÁRIO BASE (com curva de aprendizado)</t>
        </is>
      </c>
    </row>
    <row r="25">
      <c r="A25" s="13" t="inlineStr">
        <is>
          <t>Mês 1: CPA 20% pior | Mês 2: CPA base | Mês 3+: CPA 10% melhor (otimização)</t>
        </is>
      </c>
    </row>
    <row r="27">
      <c r="A27" s="22" t="inlineStr">
        <is>
          <t>Mês</t>
        </is>
      </c>
      <c r="B27" s="22" t="inlineStr">
        <is>
          <t>Investimento</t>
        </is>
      </c>
      <c r="C27" s="22" t="inlineStr">
        <is>
          <t>Vendas</t>
        </is>
      </c>
      <c r="D27" s="22" t="inlineStr">
        <is>
          <t>Receita</t>
        </is>
      </c>
      <c r="E27" s="22" t="inlineStr">
        <is>
          <t>Lucro bruto serviços</t>
        </is>
      </c>
      <c r="F27" s="22" t="inlineStr">
        <is>
          <t>Lucro após mídia</t>
        </is>
      </c>
      <c r="G27" s="22" t="inlineStr">
        <is>
          <t>ROI</t>
        </is>
      </c>
      <c r="H27" s="22" t="inlineStr">
        <is>
          <t>Lucro acumulado</t>
        </is>
      </c>
      <c r="I27" s="22" t="inlineStr">
        <is>
          <t>Status</t>
        </is>
      </c>
    </row>
    <row r="28">
      <c r="A28" s="9" t="inlineStr">
        <is>
          <t>Mês 1</t>
        </is>
      </c>
      <c r="B28" s="5" t="n">
        <v>1000</v>
      </c>
      <c r="C28" s="26" t="n">
        <v>13.85281385281385</v>
      </c>
      <c r="D28" s="5" t="n">
        <v>5849.350649350649</v>
      </c>
      <c r="E28" s="5" t="n">
        <v>2191.584415584416</v>
      </c>
      <c r="F28" s="11" t="n">
        <v>1191.584415584416</v>
      </c>
      <c r="G28" s="12" t="n">
        <v>1.191584415584416</v>
      </c>
      <c r="H28" s="5" t="n">
        <v>1191.584415584416</v>
      </c>
      <c r="I28" s="27" t="inlineStr">
        <is>
          <t>Break-even acumulado</t>
        </is>
      </c>
    </row>
    <row r="29">
      <c r="A29" s="9" t="inlineStr">
        <is>
          <t>Mês 2</t>
        </is>
      </c>
      <c r="B29" s="5" t="n">
        <v>1000</v>
      </c>
      <c r="C29" s="26" t="n">
        <v>16.62337662337662</v>
      </c>
      <c r="D29" s="5" t="n">
        <v>7019.220779220778</v>
      </c>
      <c r="E29" s="5" t="n">
        <v>2629.901298701299</v>
      </c>
      <c r="F29" s="11" t="n">
        <v>1629.901298701299</v>
      </c>
      <c r="G29" s="12" t="n">
        <v>1.629901298701299</v>
      </c>
      <c r="H29" s="5" t="n">
        <v>2821.485714285714</v>
      </c>
      <c r="I29" s="27" t="inlineStr">
        <is>
          <t>ROI positivo no mês</t>
        </is>
      </c>
    </row>
    <row r="30">
      <c r="A30" s="9" t="inlineStr">
        <is>
          <t>Mês 3</t>
        </is>
      </c>
      <c r="B30" s="5" t="n">
        <v>1000</v>
      </c>
      <c r="C30" s="26" t="n">
        <v>18.47041847041847</v>
      </c>
      <c r="D30" s="5" t="n">
        <v>7799.134199134199</v>
      </c>
      <c r="E30" s="5" t="n">
        <v>2922.112554112554</v>
      </c>
      <c r="F30" s="11" t="n">
        <v>1922.112554112554</v>
      </c>
      <c r="G30" s="12" t="n">
        <v>1.922112554112554</v>
      </c>
      <c r="H30" s="5" t="n">
        <v>4743.598268398269</v>
      </c>
      <c r="I30" s="27" t="inlineStr">
        <is>
          <t>ROI positivo no mês</t>
        </is>
      </c>
    </row>
    <row r="31">
      <c r="A31" s="9" t="inlineStr">
        <is>
          <t>Mês 4</t>
        </is>
      </c>
      <c r="B31" s="5" t="n">
        <v>1000</v>
      </c>
      <c r="C31" s="26" t="n">
        <v>18.47041847041847</v>
      </c>
      <c r="D31" s="5" t="n">
        <v>7799.134199134199</v>
      </c>
      <c r="E31" s="5" t="n">
        <v>2922.112554112554</v>
      </c>
      <c r="F31" s="11" t="n">
        <v>1922.112554112554</v>
      </c>
      <c r="G31" s="12" t="n">
        <v>1.922112554112554</v>
      </c>
      <c r="H31" s="5" t="n">
        <v>6665.710822510824</v>
      </c>
      <c r="I31" s="27" t="inlineStr">
        <is>
          <t>ROI positivo no mês</t>
        </is>
      </c>
    </row>
    <row r="32">
      <c r="A32" s="9" t="inlineStr">
        <is>
          <t>Mês 5</t>
        </is>
      </c>
      <c r="B32" s="5" t="n">
        <v>1000</v>
      </c>
      <c r="C32" s="26" t="n">
        <v>19.55691367456073</v>
      </c>
      <c r="D32" s="5" t="n">
        <v>8257.90679908327</v>
      </c>
      <c r="E32" s="5" t="n">
        <v>3094.001527883881</v>
      </c>
      <c r="F32" s="11" t="n">
        <v>2094.001527883881</v>
      </c>
      <c r="G32" s="12" t="n">
        <v>2.094001527883881</v>
      </c>
      <c r="H32" s="5" t="n">
        <v>8759.712350394704</v>
      </c>
      <c r="I32" s="27" t="inlineStr">
        <is>
          <t>ROI positivo no mês</t>
        </is>
      </c>
    </row>
    <row r="33">
      <c r="A33" s="9" t="inlineStr">
        <is>
          <t>Mês 6</t>
        </is>
      </c>
      <c r="B33" s="5" t="n">
        <v>1000</v>
      </c>
      <c r="C33" s="26" t="n">
        <v>19.55691367456073</v>
      </c>
      <c r="D33" s="5" t="n">
        <v>8257.90679908327</v>
      </c>
      <c r="E33" s="5" t="n">
        <v>3094.001527883881</v>
      </c>
      <c r="F33" s="11" t="n">
        <v>2094.001527883881</v>
      </c>
      <c r="G33" s="12" t="n">
        <v>2.094001527883881</v>
      </c>
      <c r="H33" s="5" t="n">
        <v>10853.71387827858</v>
      </c>
      <c r="I33" s="27" t="inlineStr">
        <is>
          <t>ROI positivo no mês</t>
        </is>
      </c>
    </row>
    <row r="35">
      <c r="A35" s="7" t="inlineStr">
        <is>
          <t>LT (PRAZO) — LEITURA</t>
        </is>
      </c>
    </row>
    <row r="36">
      <c r="A36" s="9" t="inlineStr">
        <is>
          <t>LT break-even (vendas no mês): 6.3 serviços fechados para cobrir R$ 1000</t>
        </is>
      </c>
    </row>
    <row r="37">
      <c r="A37" s="9" t="inlineStr">
        <is>
          <t>LT break-even acumulado (cenário base com curva): Mês 1</t>
        </is>
      </c>
    </row>
    <row r="38">
      <c r="A38" s="9" t="inlineStr">
        <is>
          <t>LT que começa a dar ROI no mês (lucro após mídia &gt; 0): Mês 1</t>
        </is>
      </c>
    </row>
    <row r="39">
      <c r="A39" s="9" t="inlineStr">
        <is>
          <t>ROI consistente (após otimização CPA): a partir do Mês 2–3, mantendo tracking de origem no WhatsApp.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>
      <c r="A1" s="14" t="inlineStr">
        <is>
          <t>Break-even e ROI — quanto precisa vender</t>
        </is>
      </c>
    </row>
    <row r="3">
      <c r="A3" s="8" t="inlineStr">
        <is>
          <t>Investimento</t>
        </is>
      </c>
      <c r="B3" s="8" t="inlineStr">
        <is>
          <t>Lucro médio/serviço</t>
        </is>
      </c>
      <c r="C3" s="8" t="inlineStr">
        <is>
          <t>Vendas p/ BE</t>
        </is>
      </c>
      <c r="D3" s="8" t="inlineStr">
        <is>
          <t>Se fechar 4/mês</t>
        </is>
      </c>
      <c r="E3" s="8" t="inlineStr">
        <is>
          <t>Se fechar 6/mês</t>
        </is>
      </c>
      <c r="F3" s="8" t="inlineStr">
        <is>
          <t>Se fechar 8/mês</t>
        </is>
      </c>
      <c r="G3" s="8" t="inlineStr">
        <is>
          <t>LT BE (se 4 vendas/mês)</t>
        </is>
      </c>
    </row>
    <row r="4">
      <c r="A4" s="5" t="n">
        <v>500</v>
      </c>
      <c r="B4" s="5" t="n">
        <v>158.205</v>
      </c>
      <c r="C4" s="28" t="n">
        <v>3.160456369899813</v>
      </c>
      <c r="D4" s="11" t="n">
        <v>132.8200000000001</v>
      </c>
      <c r="E4" s="11" t="n">
        <v>449.23</v>
      </c>
      <c r="F4" s="11" t="n">
        <v>765.6400000000001</v>
      </c>
      <c r="G4" s="9" t="inlineStr">
        <is>
          <t>1 mês</t>
        </is>
      </c>
    </row>
    <row r="5">
      <c r="A5" s="5" t="n">
        <v>1000</v>
      </c>
      <c r="B5" s="5" t="n">
        <v>158.205</v>
      </c>
      <c r="C5" s="28" t="n">
        <v>6.320912739799627</v>
      </c>
      <c r="D5" s="29" t="n">
        <v>-367.1799999999999</v>
      </c>
      <c r="E5" s="29" t="n">
        <v>-50.76999999999998</v>
      </c>
      <c r="F5" s="11" t="n">
        <v>265.6400000000001</v>
      </c>
      <c r="G5" s="9" t="inlineStr">
        <is>
          <t>1.6 meses</t>
        </is>
      </c>
    </row>
    <row r="8">
      <c r="A8" s="7" t="inlineStr">
        <is>
          <t>POR SERVIÇO — quantos precisa para pagar a mídia</t>
        </is>
      </c>
    </row>
    <row r="9">
      <c r="A9" s="22" t="inlineStr">
        <is>
          <t>Serviço</t>
        </is>
      </c>
      <c r="B9" s="22" t="inlineStr">
        <is>
          <t>Lucro unitário</t>
        </is>
      </c>
      <c r="C9" s="22" t="inlineStr">
        <is>
          <t>Qtd p/ BE R$500</t>
        </is>
      </c>
      <c r="D9" s="22" t="inlineStr">
        <is>
          <t>Qtd p/ BE R$1.000</t>
        </is>
      </c>
    </row>
    <row r="10">
      <c r="A10" s="9" t="inlineStr">
        <is>
          <t>Transferência</t>
        </is>
      </c>
      <c r="B10" s="5" t="n">
        <v>209.3</v>
      </c>
      <c r="C10" s="28" t="n">
        <v>2.388915432393693</v>
      </c>
      <c r="D10" s="28" t="n">
        <v>4.777830864787386</v>
      </c>
    </row>
    <row r="11">
      <c r="A11" s="9" t="inlineStr">
        <is>
          <t>Licenciamento</t>
        </is>
      </c>
      <c r="B11" s="5" t="n">
        <v>110.3</v>
      </c>
      <c r="C11" s="28" t="n">
        <v>4.533091568449683</v>
      </c>
      <c r="D11" s="28" t="n">
        <v>9.066183136899365</v>
      </c>
    </row>
    <row r="12">
      <c r="A12" s="9" t="inlineStr">
        <is>
          <t>Licenciamento + Transferência</t>
        </is>
      </c>
      <c r="B12" s="5" t="n">
        <v>214.3</v>
      </c>
      <c r="C12" s="28" t="n">
        <v>2.333177788147457</v>
      </c>
      <c r="D12" s="28" t="n">
        <v>4.666355576294913</v>
      </c>
    </row>
    <row r="13">
      <c r="A13" s="9" t="inlineStr">
        <is>
          <t>Vistoria</t>
        </is>
      </c>
      <c r="B13" s="5" t="n">
        <v>40</v>
      </c>
      <c r="C13" s="28" t="n">
        <v>12.5</v>
      </c>
      <c r="D13" s="28" t="n">
        <v>25</v>
      </c>
    </row>
    <row r="14">
      <c r="A14" s="9" t="inlineStr">
        <is>
          <t>Placa Moto</t>
        </is>
      </c>
      <c r="B14" s="5" t="n">
        <v>65</v>
      </c>
      <c r="C14" s="28" t="n">
        <v>7.692307692307693</v>
      </c>
      <c r="D14" s="28" t="n">
        <v>15.38461538461539</v>
      </c>
    </row>
    <row r="15">
      <c r="A15" s="9" t="inlineStr">
        <is>
          <t>Placa Carro</t>
        </is>
      </c>
      <c r="B15" s="5" t="n">
        <v>105</v>
      </c>
      <c r="C15" s="28" t="n">
        <v>4.761904761904762</v>
      </c>
      <c r="D15" s="28" t="n">
        <v>9.523809523809524</v>
      </c>
    </row>
    <row r="16">
      <c r="A16" s="9" t="inlineStr">
        <is>
          <t>APTV</t>
        </is>
      </c>
      <c r="B16" s="5" t="n">
        <v>40.3</v>
      </c>
      <c r="C16" s="28" t="n">
        <v>12.40694789081886</v>
      </c>
      <c r="D16" s="28" t="n">
        <v>24.81389578163772</v>
      </c>
    </row>
    <row r="17">
      <c r="A17" s="9" t="inlineStr">
        <is>
          <t>Emissão de Porte</t>
        </is>
      </c>
      <c r="B17" s="5" t="n">
        <v>40.3</v>
      </c>
      <c r="C17" s="28" t="n">
        <v>12.40694789081886</v>
      </c>
      <c r="D17" s="28" t="n">
        <v>24.81389578163772</v>
      </c>
    </row>
    <row r="20">
      <c r="A20" s="7" t="inlineStr">
        <is>
          <t>INTERPRETAÇÃO LT</t>
        </is>
      </c>
    </row>
    <row r="21">
      <c r="A21" s="9" t="inlineStr">
        <is>
          <t>• LT break-even (operacional): quantidade de serviços no mês cujo lucro bruto cobre 100% da mídia.</t>
        </is>
      </c>
    </row>
    <row r="22">
      <c r="A22" s="9" t="inlineStr">
        <is>
          <t>• Com mix atual (~R$ 158/serviço): ~3.2 vendas em R$500 e ~6.3 em R$1.000.</t>
        </is>
      </c>
    </row>
    <row r="23">
      <c r="A23" s="9" t="inlineStr">
        <is>
          <t>• LT break-even acumulado: mês em que o lucro após mídia acumulado fica ≥ 0 (na aba DRE, com curva de aprendizado).</t>
        </is>
      </c>
    </row>
    <row r="24">
      <c r="A24" s="9" t="inlineStr">
        <is>
          <t>• LT início de ROI: primeiro mês com lucro após mídia &gt; 0 de forma recorrente — tipicamente Mês 1 (base) ou Mês 2 (se CPA alto no começo).</t>
        </is>
      </c>
    </row>
    <row r="25">
      <c r="A25" s="9" t="inlineStr">
        <is>
          <t>• ROI consistente: a partir do Mês 2–3, quando criativos, públicos e palavras-chave já foram otimizados.</t>
        </is>
      </c>
    </row>
    <row r="26">
      <c r="A26" s="9" t="inlineStr">
        <is>
          <t>• Acompanhe no WhatsApp tags: #meta / #google e serviço fechado — sem isso o CPA fica 'achismo'.</t>
        </is>
      </c>
    </row>
  </sheetData>
  <mergeCells count="6">
    <mergeCell ref="A23:D23"/>
    <mergeCell ref="A22:D22"/>
    <mergeCell ref="A26:D26"/>
    <mergeCell ref="A21:D21"/>
    <mergeCell ref="A25:D25"/>
    <mergeCell ref="A24:D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2" customWidth="1" min="3" max="3"/>
    <col width="22" customWidth="1" min="4" max="4"/>
    <col width="24" customWidth="1" min="5" max="5"/>
    <col width="24" customWidth="1" min="6" max="6"/>
  </cols>
  <sheetData>
    <row r="1">
      <c r="A1" s="14" t="inlineStr">
        <is>
          <t>Plano prático — primeiros 30 dias</t>
        </is>
      </c>
    </row>
    <row r="3">
      <c r="A3" s="8" t="inlineStr">
        <is>
          <t>Semana</t>
        </is>
      </c>
      <c r="B3" s="8" t="inlineStr">
        <is>
          <t>Ação</t>
        </is>
      </c>
      <c r="C3" s="8" t="inlineStr">
        <is>
          <t>Canal</t>
        </is>
      </c>
      <c r="D3" s="8" t="inlineStr">
        <is>
          <t>Budget sugerido (se R$500)</t>
        </is>
      </c>
      <c r="E3" s="8" t="inlineStr">
        <is>
          <t>Budget sugerido (se R$1.000)</t>
        </is>
      </c>
      <c r="F3" s="8" t="inlineStr">
        <is>
          <t>Meta</t>
        </is>
      </c>
    </row>
    <row r="4">
      <c r="A4" s="9" t="inlineStr">
        <is>
          <t>Semana 1</t>
        </is>
      </c>
      <c r="B4" s="9" t="inlineStr">
        <is>
          <t>Subir Pixel/API WhatsApp + campanha mensagens + 3 criativos</t>
        </is>
      </c>
      <c r="C4" s="9" t="inlineStr">
        <is>
          <t>Meta</t>
        </is>
      </c>
      <c r="D4" s="5" t="n">
        <v>350</v>
      </c>
      <c r="E4" s="5" t="n">
        <v>600</v>
      </c>
      <c r="F4" s="9" t="inlineStr">
        <is>
          <t>30–50 conversas</t>
        </is>
      </c>
    </row>
    <row r="5">
      <c r="A5" s="9" t="inlineStr">
        <is>
          <t>Semana 1</t>
        </is>
      </c>
      <c r="B5" s="9" t="inlineStr">
        <is>
          <t>Campanha Search: despachante Cosmópolis + transferência</t>
        </is>
      </c>
      <c r="C5" s="9" t="inlineStr">
        <is>
          <t>Google</t>
        </is>
      </c>
      <c r="D5" s="5" t="n">
        <v>150</v>
      </c>
      <c r="E5" s="5" t="n">
        <v>400</v>
      </c>
      <c r="F5" s="9" t="inlineStr">
        <is>
          <t>15–30 cliques qualificados</t>
        </is>
      </c>
    </row>
    <row r="6">
      <c r="A6" s="9" t="inlineStr">
        <is>
          <t>Semana 2</t>
        </is>
      </c>
      <c r="B6" s="9" t="inlineStr">
        <is>
          <t>Cortar anúncio com CPL alto; reforçar melhor criativo</t>
        </is>
      </c>
      <c r="C6" s="9" t="inlineStr">
        <is>
          <t>Meta</t>
        </is>
      </c>
      <c r="D6" s="5" t="n">
        <v>350</v>
      </c>
      <c r="E6" s="5" t="n">
        <v>600</v>
      </c>
      <c r="F6" s="9" t="inlineStr">
        <is>
          <t>CPA conversa ↓ 20%</t>
        </is>
      </c>
    </row>
    <row r="7">
      <c r="A7" s="9" t="inlineStr">
        <is>
          <t>Semana 2</t>
        </is>
      </c>
      <c r="B7" s="9" t="inlineStr">
        <is>
          <t>Ativar extensão de local + ligação</t>
        </is>
      </c>
      <c r="C7" s="9" t="inlineStr">
        <is>
          <t>Google</t>
        </is>
      </c>
      <c r="D7" s="5" t="n">
        <v>150</v>
      </c>
      <c r="E7" s="5" t="n">
        <v>400</v>
      </c>
      <c r="F7" s="9" t="inlineStr">
        <is>
          <t>Chamadas/rotas Maps</t>
        </is>
      </c>
    </row>
    <row r="8">
      <c r="A8" s="9" t="inlineStr">
        <is>
          <t>Semana 3</t>
        </is>
      </c>
      <c r="B8" s="9" t="inlineStr">
        <is>
          <t>Remarketing quem abriu WhatsApp e não fechou</t>
        </is>
      </c>
      <c r="C8" s="9" t="inlineStr">
        <is>
          <t>Meta</t>
        </is>
      </c>
      <c r="D8" s="5" t="n">
        <v>350</v>
      </c>
      <c r="E8" s="5" t="n">
        <v>550</v>
      </c>
      <c r="F8" s="9" t="inlineStr">
        <is>
          <t>+fechamentos</t>
        </is>
      </c>
    </row>
    <row r="9">
      <c r="A9" s="9" t="inlineStr">
        <is>
          <t>Semana 3</t>
        </is>
      </c>
      <c r="B9" s="9" t="inlineStr">
        <is>
          <t>Ampliar keywords licenciamento / placa</t>
        </is>
      </c>
      <c r="C9" s="9" t="inlineStr">
        <is>
          <t>Google</t>
        </is>
      </c>
      <c r="D9" s="5" t="n">
        <v>150</v>
      </c>
      <c r="E9" s="5" t="n">
        <v>450</v>
      </c>
      <c r="F9" s="9" t="inlineStr">
        <is>
          <t>Mais intenção</t>
        </is>
      </c>
    </row>
    <row r="10">
      <c r="A10" s="9" t="inlineStr">
        <is>
          <t>Semana 4</t>
        </is>
      </c>
      <c r="B10" s="9" t="inlineStr">
        <is>
          <t>Fechar DRE real: gasto × serviços × lucro</t>
        </is>
      </c>
      <c r="C10" s="9" t="inlineStr">
        <is>
          <t>Os dois</t>
        </is>
      </c>
      <c r="D10" s="5" t="n">
        <v>500</v>
      </c>
      <c r="E10" s="5" t="n">
        <v>1000</v>
      </c>
      <c r="F10" s="9" t="inlineStr">
        <is>
          <t>Decidir manter/escalar</t>
        </is>
      </c>
    </row>
    <row r="12">
      <c r="A12" s="7" t="inlineStr">
        <is>
          <t>Checklist tracking</t>
        </is>
      </c>
    </row>
    <row r="13">
      <c r="A13" s="9" t="inlineStr">
        <is>
          <t>☐ Tag no WhatsApp: origem Meta ou Google</t>
        </is>
      </c>
    </row>
    <row r="14">
      <c r="A14" s="9" t="inlineStr">
        <is>
          <t>☐ Planilha diária: data | canal | serviço | valor | lucro</t>
        </is>
      </c>
    </row>
    <row r="15">
      <c r="A15" s="9" t="inlineStr">
        <is>
          <t>☐ Meta: campanha só WhatsApp (não só curtida)</t>
        </is>
      </c>
    </row>
    <row r="16">
      <c r="A16" s="9" t="inlineStr">
        <is>
          <t>☐ Google: localização presença / raio 15–20 km</t>
        </is>
      </c>
    </row>
    <row r="17">
      <c r="A17" s="9" t="inlineStr">
        <is>
          <t>☐ Usar criativos da pasta /criativos do site</t>
        </is>
      </c>
    </row>
    <row r="18">
      <c r="A18" s="9" t="inlineStr">
        <is>
          <t>☐ Site na bio + link Google Meu Negócio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2026-07-25T16:55:13Z</dcterms:created>
  <dcterms:modified xmlns:dcterms="http://purl.org/dc/terms/" xmlns:xsi="http://www.w3.org/2001/XMLSchema-instance" xsi:type="dcterms:W3CDTF">2026-07-25T16:55:13Z</dcterms:modified>
</cp:coreProperties>
</file>